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JR\Desktop\科研\论文\25-拓扑-综述1-工具0.8-计算0.8-论文0.5\投稿\3-NC投稿\R1\AI for NC\Workflow\6-Project\data\input\"/>
    </mc:Choice>
  </mc:AlternateContent>
  <xr:revisionPtr revIDLastSave="0" documentId="13_ncr:1_{C0B3852B-4521-4769-8639-9029487E032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7" i="5" l="1"/>
  <c r="Q7" i="5"/>
  <c r="P8" i="5"/>
  <c r="Q8" i="5"/>
  <c r="P9" i="5"/>
  <c r="Q9" i="5"/>
  <c r="P10" i="5"/>
  <c r="Q10" i="5"/>
  <c r="P11" i="5"/>
  <c r="Q11" i="5"/>
  <c r="P12" i="5"/>
  <c r="Q12" i="5"/>
  <c r="P13" i="5"/>
  <c r="Q13" i="5"/>
  <c r="P14" i="5"/>
  <c r="Q14" i="5"/>
  <c r="P15" i="5"/>
  <c r="Q15" i="5"/>
  <c r="P16" i="5"/>
  <c r="Q16" i="5"/>
  <c r="P17" i="5"/>
  <c r="Q17" i="5"/>
  <c r="P18" i="5"/>
  <c r="Q18" i="5"/>
  <c r="P19" i="5"/>
  <c r="Q19" i="5"/>
  <c r="P20" i="5"/>
  <c r="Q20" i="5"/>
  <c r="P21" i="5"/>
  <c r="Q21" i="5"/>
  <c r="P22" i="5"/>
  <c r="Q22" i="5"/>
  <c r="P23" i="5"/>
  <c r="Q23" i="5"/>
  <c r="P24" i="5"/>
  <c r="Q24" i="5"/>
  <c r="Q1" i="5"/>
  <c r="Q2" i="5"/>
  <c r="Q3" i="5"/>
  <c r="Q4" i="5"/>
  <c r="Q5" i="5"/>
  <c r="P1" i="5"/>
  <c r="P2" i="5"/>
  <c r="P3" i="5"/>
  <c r="P4" i="5"/>
  <c r="P5" i="5"/>
  <c r="Q6" i="5"/>
  <c r="P6" i="5"/>
  <c r="C36" i="5" l="1"/>
  <c r="D36" i="5"/>
  <c r="E36" i="5"/>
  <c r="F36" i="5"/>
  <c r="G36" i="5"/>
  <c r="H36" i="5"/>
  <c r="I36" i="5"/>
  <c r="J36" i="5"/>
  <c r="K36" i="5"/>
  <c r="L36" i="5"/>
  <c r="M36" i="5"/>
  <c r="B36" i="5"/>
  <c r="C32" i="5"/>
  <c r="D32" i="5"/>
  <c r="E32" i="5"/>
  <c r="F32" i="5"/>
  <c r="G32" i="5"/>
  <c r="H32" i="5"/>
  <c r="I32" i="5"/>
  <c r="J32" i="5"/>
  <c r="K32" i="5"/>
  <c r="L32" i="5"/>
  <c r="M32" i="5"/>
  <c r="B32" i="5"/>
  <c r="C31" i="5"/>
  <c r="D31" i="5"/>
  <c r="E31" i="5"/>
  <c r="F31" i="5"/>
  <c r="G31" i="5"/>
  <c r="H31" i="5"/>
  <c r="I31" i="5"/>
  <c r="J31" i="5"/>
  <c r="K31" i="5"/>
  <c r="L31" i="5"/>
  <c r="M31" i="5"/>
  <c r="B31" i="5"/>
  <c r="C30" i="5"/>
  <c r="D30" i="5"/>
  <c r="E30" i="5"/>
  <c r="F30" i="5"/>
  <c r="G30" i="5"/>
  <c r="H30" i="5"/>
  <c r="I30" i="5"/>
  <c r="J30" i="5"/>
  <c r="K30" i="5"/>
  <c r="L30" i="5"/>
  <c r="M30" i="5"/>
  <c r="B30" i="5"/>
  <c r="C28" i="5"/>
  <c r="D28" i="5"/>
  <c r="E28" i="5"/>
  <c r="F28" i="5"/>
  <c r="G28" i="5"/>
  <c r="H28" i="5"/>
  <c r="I28" i="5"/>
  <c r="J28" i="5"/>
  <c r="K28" i="5"/>
  <c r="L28" i="5"/>
  <c r="M28" i="5"/>
  <c r="B28" i="5"/>
  <c r="H17" i="1"/>
  <c r="H16" i="1"/>
  <c r="H25" i="1"/>
  <c r="H7" i="1"/>
  <c r="H6" i="1"/>
  <c r="H5" i="1"/>
  <c r="H4" i="1"/>
  <c r="H3" i="1"/>
  <c r="H24" i="1"/>
  <c r="H23" i="1"/>
  <c r="H22" i="1"/>
  <c r="H15" i="1"/>
  <c r="H2" i="1"/>
  <c r="H21" i="1"/>
  <c r="G20" i="1"/>
  <c r="H20" i="1" s="1"/>
  <c r="H14" i="1"/>
  <c r="G13" i="1"/>
  <c r="H13" i="1" s="1"/>
  <c r="G12" i="1"/>
  <c r="H12" i="1" s="1"/>
  <c r="H11" i="1"/>
  <c r="H10" i="1"/>
  <c r="H9" i="1"/>
  <c r="H19" i="1"/>
  <c r="H8" i="1"/>
  <c r="G18" i="1"/>
  <c r="H18" i="1" s="1"/>
</calcChain>
</file>

<file path=xl/sharedStrings.xml><?xml version="1.0" encoding="utf-8"?>
<sst xmlns="http://schemas.openxmlformats.org/spreadsheetml/2006/main" count="230" uniqueCount="107">
  <si>
    <t>No</t>
    <phoneticPr fontId="3" type="noConversion"/>
  </si>
  <si>
    <t>Country</t>
    <phoneticPr fontId="3" type="noConversion"/>
  </si>
  <si>
    <t>Lat</t>
    <phoneticPr fontId="3" type="noConversion"/>
  </si>
  <si>
    <t>Lon</t>
    <phoneticPr fontId="3" type="noConversion"/>
  </si>
  <si>
    <t>Cap/MW</t>
    <phoneticPr fontId="3" type="noConversion"/>
  </si>
  <si>
    <t>Power</t>
    <phoneticPr fontId="3" type="noConversion"/>
  </si>
  <si>
    <t>Details</t>
    <phoneticPr fontId="3" type="noConversion"/>
  </si>
  <si>
    <t>Dedicated renewable</t>
  </si>
  <si>
    <t>FID/Construction</t>
  </si>
  <si>
    <t>ARE</t>
  </si>
  <si>
    <t>Solar PV</t>
  </si>
  <si>
    <t>Khalifa Industrial Zone Abu Dhabi (KIZAD) Helios Industry- phase 2</t>
  </si>
  <si>
    <t>Feasibility study</t>
  </si>
  <si>
    <t>AUS</t>
  </si>
  <si>
    <t>Concept</t>
  </si>
  <si>
    <t>Onshore wind</t>
  </si>
  <si>
    <t>ABEL Energy Bell Bay Powerfuels Project - phase 1</t>
  </si>
  <si>
    <t>Tiwi Islands Green Hydrogen Project, phase I</t>
  </si>
  <si>
    <t>BRA</t>
  </si>
  <si>
    <t>Unigel, phase II</t>
  </si>
  <si>
    <t>CAN</t>
  </si>
  <si>
    <t>Nujio'qonik Green Hydrogen -phase 2</t>
  </si>
  <si>
    <t>Nujio'qonik Green Hydrogen -phase 1</t>
  </si>
  <si>
    <t>CHN</t>
  </si>
  <si>
    <t xml:space="preserve">China State Shipbuilding (CSSC) green hydrogen project in Tong Liao </t>
  </si>
  <si>
    <t>Hyper Hydrogen Energy Zhangjiakou Wind Power Hebei - second phase</t>
  </si>
  <si>
    <t>Shell China - Zhangjiakou, phase 2</t>
  </si>
  <si>
    <t>China Coal Ordos Energy and Chemical</t>
  </si>
  <si>
    <t>Grid+Renewables</t>
  </si>
  <si>
    <t>COL</t>
  </si>
  <si>
    <t>Green Urea production in Colombia</t>
  </si>
  <si>
    <t>DEU</t>
  </si>
  <si>
    <t>Offshore wind</t>
  </si>
  <si>
    <t>GET H2 Nukleus, phase 3</t>
  </si>
  <si>
    <t>Bad Lauchstädt energy park</t>
  </si>
  <si>
    <t>ESP</t>
  </si>
  <si>
    <t>Puertollano HydRIC project Phase II</t>
  </si>
  <si>
    <t>Puertollano HydRIC project Phase I</t>
  </si>
  <si>
    <t>FRA</t>
  </si>
  <si>
    <t>GH2 Ambès (Phase 1)</t>
  </si>
  <si>
    <t>NLD</t>
  </si>
  <si>
    <t>DJEWELS Chemiepark - Delfzijl, Phase 3</t>
  </si>
  <si>
    <t>Holland Hydrogen - phase 2</t>
  </si>
  <si>
    <t>DJEWELS Chemiepark - Delfzijl, Phase 2</t>
  </si>
  <si>
    <t>DJEWELS Chemiepark - Delfzijl, Phase 1</t>
  </si>
  <si>
    <t>Holland Hydrogen - phase 1</t>
  </si>
  <si>
    <t>PRT</t>
  </si>
  <si>
    <t>MadoquaPower2X - Sines - phase 1</t>
  </si>
  <si>
    <t>SWE</t>
  </si>
  <si>
    <t>Project AIR (Perstorp - Stenungsund)</t>
  </si>
  <si>
    <t>USA</t>
  </si>
  <si>
    <t>Roadrunner</t>
  </si>
  <si>
    <t>WTFLH</t>
    <phoneticPr fontId="3" type="noConversion"/>
  </si>
  <si>
    <t>PVFLH</t>
    <phoneticPr fontId="3" type="noConversion"/>
  </si>
  <si>
    <t>Project No</t>
    <phoneticPr fontId="3" type="noConversion"/>
  </si>
  <si>
    <t>哥伦比亚</t>
    <phoneticPr fontId="3" type="noConversion"/>
  </si>
  <si>
    <t>西班牙</t>
    <phoneticPr fontId="3" type="noConversion"/>
  </si>
  <si>
    <t>法国</t>
    <phoneticPr fontId="3" type="noConversion"/>
  </si>
  <si>
    <t>瑞典 Sverige</t>
    <phoneticPr fontId="3" type="noConversion"/>
  </si>
  <si>
    <t>美国</t>
    <phoneticPr fontId="3" type="noConversion"/>
  </si>
  <si>
    <t>德国</t>
    <phoneticPr fontId="3" type="noConversion"/>
  </si>
  <si>
    <t>荷兰</t>
    <phoneticPr fontId="3" type="noConversion"/>
  </si>
  <si>
    <t>澳大利亚</t>
    <phoneticPr fontId="3" type="noConversion"/>
  </si>
  <si>
    <t>巴西</t>
    <phoneticPr fontId="3" type="noConversion"/>
  </si>
  <si>
    <t>加拿大</t>
    <phoneticPr fontId="3" type="noConversion"/>
  </si>
  <si>
    <t>中国</t>
    <phoneticPr fontId="3" type="noConversion"/>
  </si>
  <si>
    <t>阿联酋</t>
    <phoneticPr fontId="3" type="noConversion"/>
  </si>
  <si>
    <t>葡萄牙</t>
    <phoneticPr fontId="3" type="noConversion"/>
  </si>
  <si>
    <t>网电(美元/kWh)</t>
    <phoneticPr fontId="3" type="noConversion"/>
  </si>
  <si>
    <t>Brazil</t>
  </si>
  <si>
    <t>European Union</t>
  </si>
  <si>
    <t>United States</t>
  </si>
  <si>
    <t>China</t>
  </si>
  <si>
    <t>Middle East</t>
  </si>
  <si>
    <t>CostTableRegion</t>
    <phoneticPr fontId="3" type="noConversion"/>
  </si>
  <si>
    <t>Solar</t>
    <phoneticPr fontId="3" type="noConversion"/>
  </si>
  <si>
    <t>Solar O&amp;M</t>
    <phoneticPr fontId="3" type="noConversion"/>
  </si>
  <si>
    <t>Wind</t>
    <phoneticPr fontId="3" type="noConversion"/>
  </si>
  <si>
    <t>Wind O&amp;M</t>
    <phoneticPr fontId="3" type="noConversion"/>
  </si>
  <si>
    <t>Type</t>
    <phoneticPr fontId="3" type="noConversion"/>
  </si>
  <si>
    <t>下游</t>
    <phoneticPr fontId="3" type="noConversion"/>
  </si>
  <si>
    <t>炼化、钢铁</t>
    <phoneticPr fontId="3" type="noConversion"/>
  </si>
  <si>
    <t>甲醇/燃料</t>
    <phoneticPr fontId="3" type="noConversion"/>
  </si>
  <si>
    <t>炼化、交通燃料</t>
    <phoneticPr fontId="3" type="noConversion"/>
  </si>
  <si>
    <t>甲醇/燃料、交通燃料</t>
    <phoneticPr fontId="3" type="noConversion"/>
  </si>
  <si>
    <t>化工/合成氨</t>
    <phoneticPr fontId="3" type="noConversion"/>
  </si>
  <si>
    <t>化工/合成氨、交通燃料</t>
    <phoneticPr fontId="3" type="noConversion"/>
  </si>
  <si>
    <t>交通燃料、发电/调峰</t>
    <phoneticPr fontId="3" type="noConversion"/>
  </si>
  <si>
    <t>交通燃料</t>
    <phoneticPr fontId="3" type="noConversion"/>
  </si>
  <si>
    <t>甲醇/燃料、化工/合成氨</t>
    <phoneticPr fontId="3" type="noConversion"/>
  </si>
  <si>
    <t>交通燃料、甲醇/燃料</t>
    <phoneticPr fontId="3" type="noConversion"/>
  </si>
  <si>
    <t>交通燃料（出口）</t>
    <phoneticPr fontId="3" type="noConversion"/>
  </si>
  <si>
    <t>炼化/化工</t>
    <phoneticPr fontId="3" type="noConversion"/>
  </si>
  <si>
    <t>onshore</t>
    <phoneticPr fontId="1" type="noConversion"/>
  </si>
  <si>
    <t>offshore</t>
    <phoneticPr fontId="1" type="noConversion"/>
  </si>
  <si>
    <t>14-15</t>
    <phoneticPr fontId="1" type="noConversion"/>
  </si>
  <si>
    <t>9-10+16</t>
    <phoneticPr fontId="1" type="noConversion"/>
  </si>
  <si>
    <t>solar</t>
    <phoneticPr fontId="1" type="noConversion"/>
  </si>
  <si>
    <t>21-24</t>
    <phoneticPr fontId="1" type="noConversion"/>
  </si>
  <si>
    <t>1-6</t>
    <phoneticPr fontId="1" type="noConversion"/>
  </si>
  <si>
    <t>11-13</t>
    <phoneticPr fontId="1" type="noConversion"/>
  </si>
  <si>
    <t>EU</t>
    <phoneticPr fontId="1" type="noConversion"/>
  </si>
  <si>
    <t>NA</t>
    <phoneticPr fontId="1" type="noConversion"/>
  </si>
  <si>
    <t>CN</t>
    <phoneticPr fontId="1" type="noConversion"/>
  </si>
  <si>
    <t>AU</t>
    <phoneticPr fontId="1" type="noConversion"/>
  </si>
  <si>
    <t>SA</t>
    <phoneticPr fontId="1" type="noConversion"/>
  </si>
  <si>
    <t>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</si>
</sst>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Arial"/>
      <family val="2"/>
    </font>
    <font>
      <sz val="9"/>
      <name val="Times New Roman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6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7" fontId="2" fillId="0" borderId="0" xfId="0" applyNumberFormat="1" applyFont="1" applyAlignment="1">
      <alignment horizontal="center"/>
    </xf>
    <xf numFmtId="177" fontId="2" fillId="2" borderId="2" xfId="0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left"/>
    </xf>
    <xf numFmtId="176" fontId="2" fillId="2" borderId="2" xfId="0" applyNumberFormat="1" applyFont="1" applyFill="1" applyBorder="1" applyAlignment="1">
      <alignment horizontal="left" vertical="center"/>
    </xf>
    <xf numFmtId="176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0" fontId="0" fillId="0" borderId="0" xfId="0" applyNumberFormat="1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opLeftCell="A13" zoomScaleNormal="100" workbookViewId="0">
      <selection activeCell="F14" sqref="F14"/>
    </sheetView>
  </sheetViews>
  <sheetFormatPr defaultRowHeight="14" x14ac:dyDescent="0.3"/>
  <cols>
    <col min="1" max="2" width="5.9140625" customWidth="1"/>
    <col min="11" max="11" width="12.4140625" style="11" customWidth="1"/>
    <col min="12" max="12" width="14.4140625" style="10" customWidth="1"/>
    <col min="13" max="16" width="8.6640625" style="3"/>
    <col min="17" max="17" width="14" customWidth="1"/>
    <col min="18" max="18" width="12.4140625" customWidth="1"/>
    <col min="19" max="19" width="30.25" customWidth="1"/>
    <col min="21" max="21" width="13.75" customWidth="1"/>
    <col min="22" max="22" width="14.9140625" style="3" customWidth="1"/>
    <col min="23" max="23" width="15.9140625" style="3" customWidth="1"/>
    <col min="24" max="25" width="8.6640625" style="3"/>
    <col min="26" max="26" width="14.9140625" style="14" customWidth="1"/>
  </cols>
  <sheetData>
    <row r="1" spans="1:26" x14ac:dyDescent="0.3">
      <c r="A1" s="1"/>
      <c r="B1" s="1" t="s">
        <v>0</v>
      </c>
      <c r="C1" s="1" t="s">
        <v>54</v>
      </c>
      <c r="D1" s="1" t="s">
        <v>1</v>
      </c>
      <c r="E1" s="1" t="s">
        <v>2</v>
      </c>
      <c r="F1" s="1" t="s">
        <v>3</v>
      </c>
      <c r="G1" s="1" t="s">
        <v>4</v>
      </c>
      <c r="H1" s="1">
        <v>20</v>
      </c>
      <c r="I1" s="1">
        <v>10</v>
      </c>
      <c r="J1" s="1">
        <v>5</v>
      </c>
      <c r="K1" s="7" t="s">
        <v>79</v>
      </c>
      <c r="L1" s="8" t="s">
        <v>68</v>
      </c>
      <c r="M1" s="2" t="s">
        <v>77</v>
      </c>
      <c r="N1" s="2" t="s">
        <v>75</v>
      </c>
      <c r="O1" s="2" t="s">
        <v>52</v>
      </c>
      <c r="P1" s="2" t="s">
        <v>53</v>
      </c>
      <c r="Q1" s="17" t="s">
        <v>5</v>
      </c>
      <c r="R1" s="17"/>
      <c r="S1" s="17" t="s">
        <v>6</v>
      </c>
      <c r="T1" s="17"/>
      <c r="U1" s="17"/>
      <c r="V1" s="2" t="s">
        <v>1</v>
      </c>
      <c r="W1" s="2" t="s">
        <v>74</v>
      </c>
      <c r="X1" s="2" t="s">
        <v>76</v>
      </c>
      <c r="Y1" s="2" t="s">
        <v>78</v>
      </c>
      <c r="Z1" s="12" t="s">
        <v>80</v>
      </c>
    </row>
    <row r="2" spans="1:26" x14ac:dyDescent="0.3">
      <c r="A2" s="4">
        <v>1</v>
      </c>
      <c r="B2" s="4">
        <v>27</v>
      </c>
      <c r="C2" s="4">
        <v>1436</v>
      </c>
      <c r="D2" s="4" t="s">
        <v>31</v>
      </c>
      <c r="E2" s="4">
        <v>52.482556513702299</v>
      </c>
      <c r="F2" s="4">
        <v>7.2996678118249898</v>
      </c>
      <c r="G2" s="4">
        <v>100</v>
      </c>
      <c r="H2" s="4">
        <f t="shared" ref="H2:H25" si="0">INT(G2/20)</f>
        <v>5</v>
      </c>
      <c r="I2" s="4"/>
      <c r="J2" s="4"/>
      <c r="K2" s="4">
        <v>2</v>
      </c>
      <c r="L2" s="9">
        <v>0.08</v>
      </c>
      <c r="M2" s="6">
        <v>3120</v>
      </c>
      <c r="N2" s="6">
        <v>750</v>
      </c>
      <c r="O2" s="6">
        <v>3915.9628173713795</v>
      </c>
      <c r="P2" s="6">
        <v>1006.3620429976908</v>
      </c>
      <c r="Q2" s="5" t="s">
        <v>7</v>
      </c>
      <c r="R2" s="5" t="s">
        <v>32</v>
      </c>
      <c r="S2" s="5" t="s">
        <v>33</v>
      </c>
      <c r="T2" s="4">
        <v>2027</v>
      </c>
      <c r="U2" s="5" t="s">
        <v>8</v>
      </c>
      <c r="V2" s="6" t="s">
        <v>60</v>
      </c>
      <c r="W2" s="6" t="s">
        <v>70</v>
      </c>
      <c r="X2" s="6">
        <v>12</v>
      </c>
      <c r="Y2" s="6">
        <v>60</v>
      </c>
      <c r="Z2" s="13" t="s">
        <v>81</v>
      </c>
    </row>
    <row r="3" spans="1:26" x14ac:dyDescent="0.3">
      <c r="A3" s="4">
        <v>2</v>
      </c>
      <c r="B3" s="4">
        <v>49</v>
      </c>
      <c r="C3" s="4">
        <v>843</v>
      </c>
      <c r="D3" s="4" t="s">
        <v>40</v>
      </c>
      <c r="E3" s="4">
        <v>53.334414502966901</v>
      </c>
      <c r="F3" s="4">
        <v>6.9213599498701699</v>
      </c>
      <c r="G3" s="4">
        <v>40</v>
      </c>
      <c r="H3" s="4">
        <f t="shared" si="0"/>
        <v>2</v>
      </c>
      <c r="I3" s="4"/>
      <c r="J3" s="4"/>
      <c r="K3" s="4">
        <v>2</v>
      </c>
      <c r="L3" s="9">
        <v>0.13</v>
      </c>
      <c r="M3" s="6">
        <v>3120</v>
      </c>
      <c r="N3" s="6">
        <v>750</v>
      </c>
      <c r="O3" s="6">
        <v>4460.1375873619181</v>
      </c>
      <c r="P3" s="6">
        <v>1005.8885687741242</v>
      </c>
      <c r="Q3" s="5" t="s">
        <v>7</v>
      </c>
      <c r="R3" s="5" t="s">
        <v>32</v>
      </c>
      <c r="S3" s="5" t="s">
        <v>41</v>
      </c>
      <c r="T3" s="4">
        <v>2030</v>
      </c>
      <c r="U3" s="5" t="s">
        <v>12</v>
      </c>
      <c r="V3" s="6" t="s">
        <v>61</v>
      </c>
      <c r="W3" s="6" t="s">
        <v>70</v>
      </c>
      <c r="X3" s="6">
        <v>12</v>
      </c>
      <c r="Y3" s="6">
        <v>60</v>
      </c>
      <c r="Z3" s="13" t="s">
        <v>82</v>
      </c>
    </row>
    <row r="4" spans="1:26" x14ac:dyDescent="0.3">
      <c r="A4" s="4">
        <v>3</v>
      </c>
      <c r="B4" s="4">
        <v>51</v>
      </c>
      <c r="C4" s="4">
        <v>1806</v>
      </c>
      <c r="D4" s="4" t="s">
        <v>40</v>
      </c>
      <c r="E4" s="4">
        <v>51.946838954609603</v>
      </c>
      <c r="F4" s="4">
        <v>4.0097518919116197</v>
      </c>
      <c r="G4" s="4">
        <v>200</v>
      </c>
      <c r="H4" s="4">
        <f t="shared" si="0"/>
        <v>10</v>
      </c>
      <c r="I4" s="4"/>
      <c r="J4" s="4"/>
      <c r="K4" s="4">
        <v>2</v>
      </c>
      <c r="L4" s="9">
        <v>0.13</v>
      </c>
      <c r="M4" s="6">
        <v>3120</v>
      </c>
      <c r="N4" s="6">
        <v>750</v>
      </c>
      <c r="O4" s="6">
        <v>4052.3710350029855</v>
      </c>
      <c r="P4" s="6">
        <v>1104.5087255521016</v>
      </c>
      <c r="Q4" s="5" t="s">
        <v>7</v>
      </c>
      <c r="R4" s="5" t="s">
        <v>32</v>
      </c>
      <c r="S4" s="5" t="s">
        <v>42</v>
      </c>
      <c r="T4" s="4">
        <v>2027</v>
      </c>
      <c r="U4" s="5" t="s">
        <v>12</v>
      </c>
      <c r="V4" s="6" t="s">
        <v>61</v>
      </c>
      <c r="W4" s="6" t="s">
        <v>70</v>
      </c>
      <c r="X4" s="6">
        <v>12</v>
      </c>
      <c r="Y4" s="6">
        <v>60</v>
      </c>
      <c r="Z4" s="13" t="s">
        <v>83</v>
      </c>
    </row>
    <row r="5" spans="1:26" x14ac:dyDescent="0.3">
      <c r="A5" s="4">
        <v>4</v>
      </c>
      <c r="B5" s="4">
        <v>52</v>
      </c>
      <c r="C5" s="4">
        <v>818</v>
      </c>
      <c r="D5" s="4" t="s">
        <v>40</v>
      </c>
      <c r="E5" s="4">
        <v>53.334414502966901</v>
      </c>
      <c r="F5" s="4">
        <v>6.9213599498701699</v>
      </c>
      <c r="G5" s="4">
        <v>40</v>
      </c>
      <c r="H5" s="4">
        <f t="shared" si="0"/>
        <v>2</v>
      </c>
      <c r="I5" s="4"/>
      <c r="J5" s="4"/>
      <c r="K5" s="4">
        <v>2</v>
      </c>
      <c r="L5" s="9">
        <v>0.13</v>
      </c>
      <c r="M5" s="6">
        <v>3120</v>
      </c>
      <c r="N5" s="6">
        <v>750</v>
      </c>
      <c r="O5" s="6">
        <v>4460.1375873619181</v>
      </c>
      <c r="P5" s="6">
        <v>1005.8885687741242</v>
      </c>
      <c r="Q5" s="5" t="s">
        <v>7</v>
      </c>
      <c r="R5" s="5" t="s">
        <v>32</v>
      </c>
      <c r="S5" s="5" t="s">
        <v>43</v>
      </c>
      <c r="T5" s="4">
        <v>2026</v>
      </c>
      <c r="U5" s="5" t="s">
        <v>12</v>
      </c>
      <c r="V5" s="6" t="s">
        <v>61</v>
      </c>
      <c r="W5" s="6" t="s">
        <v>70</v>
      </c>
      <c r="X5" s="6">
        <v>12</v>
      </c>
      <c r="Y5" s="6">
        <v>60</v>
      </c>
      <c r="Z5" s="13" t="s">
        <v>82</v>
      </c>
    </row>
    <row r="6" spans="1:26" x14ac:dyDescent="0.3">
      <c r="A6" s="4">
        <v>5</v>
      </c>
      <c r="B6" s="4">
        <v>53</v>
      </c>
      <c r="C6" s="4">
        <v>812</v>
      </c>
      <c r="D6" s="4" t="s">
        <v>40</v>
      </c>
      <c r="E6" s="4">
        <v>53.334414502966901</v>
      </c>
      <c r="F6" s="4">
        <v>6.9213599498701699</v>
      </c>
      <c r="G6" s="4">
        <v>20</v>
      </c>
      <c r="H6" s="4">
        <f t="shared" si="0"/>
        <v>1</v>
      </c>
      <c r="I6" s="4"/>
      <c r="J6" s="4"/>
      <c r="K6" s="4">
        <v>2</v>
      </c>
      <c r="L6" s="9">
        <v>0.13</v>
      </c>
      <c r="M6" s="6">
        <v>3120</v>
      </c>
      <c r="N6" s="6">
        <v>750</v>
      </c>
      <c r="O6" s="6">
        <v>4460.1375873619181</v>
      </c>
      <c r="P6" s="6">
        <v>1005.8885687741242</v>
      </c>
      <c r="Q6" s="5" t="s">
        <v>7</v>
      </c>
      <c r="R6" s="5" t="s">
        <v>32</v>
      </c>
      <c r="S6" s="5" t="s">
        <v>44</v>
      </c>
      <c r="T6" s="4">
        <v>2026</v>
      </c>
      <c r="U6" s="5" t="s">
        <v>12</v>
      </c>
      <c r="V6" s="6" t="s">
        <v>61</v>
      </c>
      <c r="W6" s="6" t="s">
        <v>70</v>
      </c>
      <c r="X6" s="6">
        <v>12</v>
      </c>
      <c r="Y6" s="6">
        <v>60</v>
      </c>
      <c r="Z6" s="13" t="s">
        <v>82</v>
      </c>
    </row>
    <row r="7" spans="1:26" x14ac:dyDescent="0.3">
      <c r="A7" s="4">
        <v>6</v>
      </c>
      <c r="B7" s="4">
        <v>54</v>
      </c>
      <c r="C7" s="4">
        <v>771</v>
      </c>
      <c r="D7" s="4" t="s">
        <v>40</v>
      </c>
      <c r="E7" s="4">
        <v>51.946838954609603</v>
      </c>
      <c r="F7" s="4">
        <v>4.0097518919116197</v>
      </c>
      <c r="G7" s="4">
        <v>200</v>
      </c>
      <c r="H7" s="4">
        <f t="shared" si="0"/>
        <v>10</v>
      </c>
      <c r="I7" s="4"/>
      <c r="J7" s="4"/>
      <c r="K7" s="4">
        <v>2</v>
      </c>
      <c r="L7" s="9">
        <v>0.13</v>
      </c>
      <c r="M7" s="6">
        <v>3120</v>
      </c>
      <c r="N7" s="6">
        <v>750</v>
      </c>
      <c r="O7" s="6">
        <v>4052.3710350029855</v>
      </c>
      <c r="P7" s="6">
        <v>1104.5087255521016</v>
      </c>
      <c r="Q7" s="5" t="s">
        <v>7</v>
      </c>
      <c r="R7" s="5" t="s">
        <v>32</v>
      </c>
      <c r="S7" s="5" t="s">
        <v>45</v>
      </c>
      <c r="T7" s="4">
        <v>2025</v>
      </c>
      <c r="U7" s="5" t="s">
        <v>8</v>
      </c>
      <c r="V7" s="6" t="s">
        <v>61</v>
      </c>
      <c r="W7" s="6" t="s">
        <v>70</v>
      </c>
      <c r="X7" s="6">
        <v>12</v>
      </c>
      <c r="Y7" s="6">
        <v>60</v>
      </c>
      <c r="Z7" s="13" t="s">
        <v>83</v>
      </c>
    </row>
    <row r="8" spans="1:26" x14ac:dyDescent="0.3">
      <c r="A8" s="4">
        <v>7</v>
      </c>
      <c r="B8" s="4">
        <v>5</v>
      </c>
      <c r="C8" s="4">
        <v>1259</v>
      </c>
      <c r="D8" s="4" t="s">
        <v>13</v>
      </c>
      <c r="E8" s="4">
        <v>-41.131015832796997</v>
      </c>
      <c r="F8" s="4">
        <v>146.8704778986</v>
      </c>
      <c r="G8" s="4">
        <v>260</v>
      </c>
      <c r="H8" s="4">
        <f t="shared" si="0"/>
        <v>13</v>
      </c>
      <c r="I8" s="4"/>
      <c r="J8" s="4"/>
      <c r="K8" s="4">
        <v>2</v>
      </c>
      <c r="L8" s="9">
        <v>0.06</v>
      </c>
      <c r="M8" s="6">
        <v>1370</v>
      </c>
      <c r="N8" s="6">
        <v>890</v>
      </c>
      <c r="O8" s="6">
        <v>3662.4761207537158</v>
      </c>
      <c r="P8" s="6">
        <v>1434.7983879823455</v>
      </c>
      <c r="Q8" s="5" t="s">
        <v>7</v>
      </c>
      <c r="R8" s="5" t="s">
        <v>15</v>
      </c>
      <c r="S8" s="5" t="s">
        <v>16</v>
      </c>
      <c r="T8" s="4">
        <v>2027</v>
      </c>
      <c r="U8" s="5" t="s">
        <v>12</v>
      </c>
      <c r="V8" s="6" t="s">
        <v>62</v>
      </c>
      <c r="W8" s="6" t="s">
        <v>71</v>
      </c>
      <c r="X8" s="6">
        <v>16</v>
      </c>
      <c r="Y8" s="6">
        <v>38</v>
      </c>
      <c r="Z8" s="13" t="s">
        <v>84</v>
      </c>
    </row>
    <row r="9" spans="1:26" x14ac:dyDescent="0.3">
      <c r="A9" s="4">
        <v>8</v>
      </c>
      <c r="B9" s="4">
        <v>9</v>
      </c>
      <c r="C9" s="4">
        <v>1809</v>
      </c>
      <c r="D9" s="4" t="s">
        <v>18</v>
      </c>
      <c r="E9" s="4">
        <v>-12.689967958695901</v>
      </c>
      <c r="F9" s="4">
        <v>-38.317995824355599</v>
      </c>
      <c r="G9" s="4">
        <v>180</v>
      </c>
      <c r="H9" s="4">
        <f t="shared" si="0"/>
        <v>9</v>
      </c>
      <c r="I9" s="4"/>
      <c r="J9" s="4"/>
      <c r="K9" s="4">
        <v>2</v>
      </c>
      <c r="L9" s="9">
        <v>7.0000000000000007E-2</v>
      </c>
      <c r="M9" s="6">
        <v>1080</v>
      </c>
      <c r="N9" s="6">
        <v>730</v>
      </c>
      <c r="O9" s="6">
        <v>1391.1208329947337</v>
      </c>
      <c r="P9" s="6">
        <v>1466.3323375089508</v>
      </c>
      <c r="Q9" s="5" t="s">
        <v>7</v>
      </c>
      <c r="R9" s="5" t="s">
        <v>15</v>
      </c>
      <c r="S9" s="5" t="s">
        <v>19</v>
      </c>
      <c r="T9" s="4">
        <v>2025</v>
      </c>
      <c r="U9" s="5" t="s">
        <v>12</v>
      </c>
      <c r="V9" s="6" t="s">
        <v>63</v>
      </c>
      <c r="W9" s="6" t="s">
        <v>69</v>
      </c>
      <c r="X9" s="6">
        <v>10</v>
      </c>
      <c r="Y9" s="6">
        <v>26</v>
      </c>
      <c r="Z9" s="13" t="s">
        <v>85</v>
      </c>
    </row>
    <row r="10" spans="1:26" x14ac:dyDescent="0.3">
      <c r="A10" s="4">
        <v>9</v>
      </c>
      <c r="B10" s="4">
        <v>10</v>
      </c>
      <c r="C10" s="4">
        <v>2292</v>
      </c>
      <c r="D10" s="4" t="s">
        <v>20</v>
      </c>
      <c r="E10" s="4">
        <v>48.522395884275099</v>
      </c>
      <c r="F10" s="4">
        <v>-58.434725275561902</v>
      </c>
      <c r="G10" s="4">
        <v>650</v>
      </c>
      <c r="H10" s="4">
        <f t="shared" si="0"/>
        <v>32</v>
      </c>
      <c r="I10" s="4">
        <v>1</v>
      </c>
      <c r="J10" s="4"/>
      <c r="K10" s="4">
        <v>2</v>
      </c>
      <c r="L10" s="9">
        <v>0.05</v>
      </c>
      <c r="M10" s="6">
        <v>1500</v>
      </c>
      <c r="N10" s="6">
        <v>1110</v>
      </c>
      <c r="O10" s="6">
        <v>3355.2202835991834</v>
      </c>
      <c r="P10" s="6">
        <v>1031.2768816877103</v>
      </c>
      <c r="Q10" s="5" t="s">
        <v>7</v>
      </c>
      <c r="R10" s="5" t="s">
        <v>15</v>
      </c>
      <c r="S10" s="5" t="s">
        <v>21</v>
      </c>
      <c r="T10" s="4">
        <v>2030</v>
      </c>
      <c r="U10" s="5" t="s">
        <v>12</v>
      </c>
      <c r="V10" s="6" t="s">
        <v>64</v>
      </c>
      <c r="W10" s="6" t="s">
        <v>71</v>
      </c>
      <c r="X10" s="6">
        <v>16</v>
      </c>
      <c r="Y10" s="6">
        <v>38</v>
      </c>
      <c r="Z10" s="13" t="s">
        <v>86</v>
      </c>
    </row>
    <row r="11" spans="1:26" x14ac:dyDescent="0.3">
      <c r="A11" s="4">
        <v>10</v>
      </c>
      <c r="B11" s="4">
        <v>11</v>
      </c>
      <c r="C11" s="4">
        <v>2180</v>
      </c>
      <c r="D11" s="4" t="s">
        <v>20</v>
      </c>
      <c r="E11" s="4">
        <v>48.522395884275099</v>
      </c>
      <c r="F11" s="4">
        <v>-58.434725275561902</v>
      </c>
      <c r="G11" s="4">
        <v>650</v>
      </c>
      <c r="H11" s="4">
        <f t="shared" si="0"/>
        <v>32</v>
      </c>
      <c r="I11" s="4">
        <v>1</v>
      </c>
      <c r="J11" s="4"/>
      <c r="K11" s="4">
        <v>2</v>
      </c>
      <c r="L11" s="9">
        <v>0.05</v>
      </c>
      <c r="M11" s="6">
        <v>1500</v>
      </c>
      <c r="N11" s="6">
        <v>1110</v>
      </c>
      <c r="O11" s="6">
        <v>3355.2202835991834</v>
      </c>
      <c r="P11" s="6">
        <v>1031.2768816877103</v>
      </c>
      <c r="Q11" s="5" t="s">
        <v>7</v>
      </c>
      <c r="R11" s="5" t="s">
        <v>15</v>
      </c>
      <c r="S11" s="5" t="s">
        <v>22</v>
      </c>
      <c r="T11" s="4">
        <v>2027</v>
      </c>
      <c r="U11" s="5" t="s">
        <v>12</v>
      </c>
      <c r="V11" s="6" t="s">
        <v>64</v>
      </c>
      <c r="W11" s="6" t="s">
        <v>71</v>
      </c>
      <c r="X11" s="6">
        <v>16</v>
      </c>
      <c r="Y11" s="6">
        <v>38</v>
      </c>
      <c r="Z11" s="13" t="s">
        <v>86</v>
      </c>
    </row>
    <row r="12" spans="1:26" x14ac:dyDescent="0.3">
      <c r="A12" s="4">
        <v>11</v>
      </c>
      <c r="B12" s="4">
        <v>13</v>
      </c>
      <c r="C12" s="4">
        <v>2203</v>
      </c>
      <c r="D12" s="4" t="s">
        <v>23</v>
      </c>
      <c r="E12" s="4">
        <v>43.801220846304702</v>
      </c>
      <c r="F12" s="4">
        <v>122.251264320879</v>
      </c>
      <c r="G12" s="4">
        <f>320*3.9</f>
        <v>1248</v>
      </c>
      <c r="H12" s="4">
        <f t="shared" si="0"/>
        <v>62</v>
      </c>
      <c r="I12" s="4">
        <v>1</v>
      </c>
      <c r="J12" s="4"/>
      <c r="K12" s="4">
        <v>2</v>
      </c>
      <c r="L12" s="9">
        <v>0.06</v>
      </c>
      <c r="M12" s="6">
        <v>990</v>
      </c>
      <c r="N12" s="6">
        <v>670</v>
      </c>
      <c r="O12" s="6">
        <v>3873.8929283639809</v>
      </c>
      <c r="P12" s="6">
        <v>1585.0005891016997</v>
      </c>
      <c r="Q12" s="5" t="s">
        <v>7</v>
      </c>
      <c r="R12" s="5" t="s">
        <v>15</v>
      </c>
      <c r="S12" s="5" t="s">
        <v>24</v>
      </c>
      <c r="T12" s="4">
        <v>2026</v>
      </c>
      <c r="U12" s="5" t="s">
        <v>12</v>
      </c>
      <c r="V12" s="6" t="s">
        <v>65</v>
      </c>
      <c r="W12" s="6" t="s">
        <v>72</v>
      </c>
      <c r="X12" s="6">
        <v>12</v>
      </c>
      <c r="Y12" s="6">
        <v>26</v>
      </c>
      <c r="Z12" s="13" t="s">
        <v>82</v>
      </c>
    </row>
    <row r="13" spans="1:26" x14ac:dyDescent="0.3">
      <c r="A13" s="4">
        <v>12</v>
      </c>
      <c r="B13" s="4">
        <v>14</v>
      </c>
      <c r="C13" s="4">
        <v>754</v>
      </c>
      <c r="D13" s="4" t="s">
        <v>23</v>
      </c>
      <c r="E13" s="4">
        <v>40.81</v>
      </c>
      <c r="F13" s="4">
        <v>114.87944</v>
      </c>
      <c r="G13" s="4">
        <f>10*20.79</f>
        <v>207.89999999999998</v>
      </c>
      <c r="H13" s="4">
        <f t="shared" si="0"/>
        <v>10</v>
      </c>
      <c r="I13" s="4">
        <v>1</v>
      </c>
      <c r="J13" s="4"/>
      <c r="K13" s="4">
        <v>2</v>
      </c>
      <c r="L13" s="9">
        <v>0.06</v>
      </c>
      <c r="M13" s="6">
        <v>990</v>
      </c>
      <c r="N13" s="6">
        <v>670</v>
      </c>
      <c r="O13" s="6">
        <v>3380.201987766658</v>
      </c>
      <c r="P13" s="6">
        <v>1609.6389248608095</v>
      </c>
      <c r="Q13" s="5" t="s">
        <v>7</v>
      </c>
      <c r="R13" s="5" t="s">
        <v>15</v>
      </c>
      <c r="S13" s="5" t="s">
        <v>25</v>
      </c>
      <c r="T13" s="4">
        <v>2026</v>
      </c>
      <c r="U13" s="5" t="s">
        <v>8</v>
      </c>
      <c r="V13" s="6" t="s">
        <v>65</v>
      </c>
      <c r="W13" s="6" t="s">
        <v>72</v>
      </c>
      <c r="X13" s="6">
        <v>12</v>
      </c>
      <c r="Y13" s="6">
        <v>26</v>
      </c>
      <c r="Z13" s="13" t="s">
        <v>87</v>
      </c>
    </row>
    <row r="14" spans="1:26" x14ac:dyDescent="0.3">
      <c r="A14" s="4">
        <v>13</v>
      </c>
      <c r="B14" s="4">
        <v>15</v>
      </c>
      <c r="C14" s="4">
        <v>1469</v>
      </c>
      <c r="D14" s="4" t="s">
        <v>23</v>
      </c>
      <c r="E14" s="4">
        <v>40.781632150911399</v>
      </c>
      <c r="F14" s="4">
        <v>114.867657780727</v>
      </c>
      <c r="G14" s="4">
        <v>40</v>
      </c>
      <c r="H14" s="4">
        <f t="shared" si="0"/>
        <v>2</v>
      </c>
      <c r="I14" s="4"/>
      <c r="J14" s="4"/>
      <c r="K14" s="4">
        <v>2</v>
      </c>
      <c r="L14" s="9">
        <v>0.06</v>
      </c>
      <c r="M14" s="6">
        <v>990</v>
      </c>
      <c r="N14" s="6">
        <v>670</v>
      </c>
      <c r="O14" s="6">
        <v>3380.201987766658</v>
      </c>
      <c r="P14" s="6">
        <v>1609.9179708530035</v>
      </c>
      <c r="Q14" s="5" t="s">
        <v>7</v>
      </c>
      <c r="R14" s="5" t="s">
        <v>15</v>
      </c>
      <c r="S14" s="5" t="s">
        <v>26</v>
      </c>
      <c r="T14" s="4">
        <v>2026</v>
      </c>
      <c r="U14" s="5" t="s">
        <v>8</v>
      </c>
      <c r="V14" s="6" t="s">
        <v>65</v>
      </c>
      <c r="W14" s="6" t="s">
        <v>72</v>
      </c>
      <c r="X14" s="6">
        <v>12</v>
      </c>
      <c r="Y14" s="6">
        <v>26</v>
      </c>
      <c r="Z14" s="13" t="s">
        <v>88</v>
      </c>
    </row>
    <row r="15" spans="1:26" x14ac:dyDescent="0.3">
      <c r="A15" s="4">
        <v>14</v>
      </c>
      <c r="B15" s="4">
        <v>29</v>
      </c>
      <c r="C15" s="4">
        <v>811</v>
      </c>
      <c r="D15" s="4" t="s">
        <v>31</v>
      </c>
      <c r="E15" s="4">
        <v>51.432015142675802</v>
      </c>
      <c r="F15" s="4">
        <v>11.8618719963012</v>
      </c>
      <c r="G15" s="4">
        <v>30</v>
      </c>
      <c r="H15" s="4">
        <f t="shared" si="0"/>
        <v>1</v>
      </c>
      <c r="I15" s="4">
        <v>1</v>
      </c>
      <c r="J15" s="4"/>
      <c r="K15" s="4">
        <v>2</v>
      </c>
      <c r="L15" s="9">
        <v>0.08</v>
      </c>
      <c r="M15" s="6">
        <v>1630</v>
      </c>
      <c r="N15" s="6">
        <v>750</v>
      </c>
      <c r="O15" s="6">
        <v>3454.2805827779493</v>
      </c>
      <c r="P15" s="6">
        <v>1081.8188181017219</v>
      </c>
      <c r="Q15" s="5" t="s">
        <v>7</v>
      </c>
      <c r="R15" s="5" t="s">
        <v>15</v>
      </c>
      <c r="S15" s="5" t="s">
        <v>34</v>
      </c>
      <c r="T15" s="4">
        <v>2025</v>
      </c>
      <c r="U15" s="5" t="s">
        <v>8</v>
      </c>
      <c r="V15" s="6" t="s">
        <v>60</v>
      </c>
      <c r="W15" s="6" t="s">
        <v>70</v>
      </c>
      <c r="X15" s="6">
        <v>12</v>
      </c>
      <c r="Y15" s="6">
        <v>42</v>
      </c>
      <c r="Z15" s="13" t="s">
        <v>85</v>
      </c>
    </row>
    <row r="16" spans="1:26" x14ac:dyDescent="0.3">
      <c r="A16" s="4">
        <v>15</v>
      </c>
      <c r="B16" s="4">
        <v>67</v>
      </c>
      <c r="C16" s="4">
        <v>1028</v>
      </c>
      <c r="D16" s="4" t="s">
        <v>48</v>
      </c>
      <c r="E16" s="4">
        <v>58.080205540560897</v>
      </c>
      <c r="F16" s="4">
        <v>11.818070745548299</v>
      </c>
      <c r="G16" s="4">
        <v>25</v>
      </c>
      <c r="H16" s="4">
        <f t="shared" si="0"/>
        <v>1</v>
      </c>
      <c r="I16" s="4"/>
      <c r="J16" s="4">
        <v>1</v>
      </c>
      <c r="K16" s="4">
        <v>2</v>
      </c>
      <c r="L16" s="9">
        <v>0.02</v>
      </c>
      <c r="M16" s="6">
        <v>1630</v>
      </c>
      <c r="N16" s="6">
        <v>750</v>
      </c>
      <c r="O16" s="6">
        <v>2515.9641502521877</v>
      </c>
      <c r="P16" s="6">
        <v>964.73225728848615</v>
      </c>
      <c r="Q16" s="5" t="s">
        <v>7</v>
      </c>
      <c r="R16" s="5" t="s">
        <v>15</v>
      </c>
      <c r="S16" s="5" t="s">
        <v>49</v>
      </c>
      <c r="T16" s="4">
        <v>2025</v>
      </c>
      <c r="U16" s="5" t="s">
        <v>12</v>
      </c>
      <c r="V16" s="6" t="s">
        <v>58</v>
      </c>
      <c r="W16" s="6" t="s">
        <v>70</v>
      </c>
      <c r="X16" s="6">
        <v>12</v>
      </c>
      <c r="Y16" s="6">
        <v>42</v>
      </c>
      <c r="Z16" s="13" t="s">
        <v>89</v>
      </c>
    </row>
    <row r="17" spans="1:26" x14ac:dyDescent="0.3">
      <c r="A17" s="4">
        <v>16</v>
      </c>
      <c r="B17" s="4">
        <v>70</v>
      </c>
      <c r="C17" s="4">
        <v>1108</v>
      </c>
      <c r="D17" s="4" t="s">
        <v>50</v>
      </c>
      <c r="E17" s="4">
        <v>31.384031436277699</v>
      </c>
      <c r="F17" s="4">
        <v>-102.03146597281901</v>
      </c>
      <c r="G17" s="4">
        <v>100</v>
      </c>
      <c r="H17" s="4">
        <f t="shared" si="0"/>
        <v>5</v>
      </c>
      <c r="I17" s="4"/>
      <c r="J17" s="4"/>
      <c r="K17" s="4">
        <v>2</v>
      </c>
      <c r="L17" s="9">
        <v>7.0000000000000007E-2</v>
      </c>
      <c r="M17" s="6">
        <v>1500</v>
      </c>
      <c r="N17" s="6">
        <v>1110</v>
      </c>
      <c r="O17" s="6">
        <v>4117.7080539355547</v>
      </c>
      <c r="P17" s="6">
        <v>1736.1963607477728</v>
      </c>
      <c r="Q17" s="5" t="s">
        <v>7</v>
      </c>
      <c r="R17" s="5" t="s">
        <v>15</v>
      </c>
      <c r="S17" s="5" t="s">
        <v>51</v>
      </c>
      <c r="T17" s="4">
        <v>2026</v>
      </c>
      <c r="U17" s="5" t="s">
        <v>12</v>
      </c>
      <c r="V17" s="6" t="s">
        <v>59</v>
      </c>
      <c r="W17" s="6" t="s">
        <v>71</v>
      </c>
      <c r="X17" s="6">
        <v>16</v>
      </c>
      <c r="Y17" s="6">
        <v>38</v>
      </c>
      <c r="Z17" s="13" t="s">
        <v>90</v>
      </c>
    </row>
    <row r="18" spans="1:26" x14ac:dyDescent="0.3">
      <c r="A18" s="4">
        <v>17</v>
      </c>
      <c r="B18" s="4">
        <v>2</v>
      </c>
      <c r="C18" s="4">
        <v>1217</v>
      </c>
      <c r="D18" s="4" t="s">
        <v>9</v>
      </c>
      <c r="E18" s="4">
        <v>24.4852421565258</v>
      </c>
      <c r="F18" s="4">
        <v>54.392728038977801</v>
      </c>
      <c r="G18" s="4">
        <f>200*3.67</f>
        <v>734</v>
      </c>
      <c r="H18" s="4">
        <f t="shared" si="0"/>
        <v>36</v>
      </c>
      <c r="I18" s="4">
        <v>1</v>
      </c>
      <c r="J18" s="4">
        <v>1</v>
      </c>
      <c r="K18" s="4">
        <v>3</v>
      </c>
      <c r="L18" s="9">
        <v>7.0000000000000007E-2</v>
      </c>
      <c r="M18" s="6">
        <v>1410</v>
      </c>
      <c r="N18" s="6">
        <v>610</v>
      </c>
      <c r="O18" s="6">
        <v>1539.4869016903783</v>
      </c>
      <c r="P18" s="6">
        <v>1730.6633267604955</v>
      </c>
      <c r="Q18" s="5" t="s">
        <v>7</v>
      </c>
      <c r="R18" s="5" t="s">
        <v>10</v>
      </c>
      <c r="S18" s="5" t="s">
        <v>11</v>
      </c>
      <c r="T18" s="4">
        <v>2026</v>
      </c>
      <c r="U18" s="5" t="s">
        <v>12</v>
      </c>
      <c r="V18" s="6" t="s">
        <v>66</v>
      </c>
      <c r="W18" s="6" t="s">
        <v>73</v>
      </c>
      <c r="X18" s="6">
        <v>10</v>
      </c>
      <c r="Y18" s="6">
        <v>36</v>
      </c>
      <c r="Z18" s="13" t="s">
        <v>86</v>
      </c>
    </row>
    <row r="19" spans="1:26" x14ac:dyDescent="0.3">
      <c r="A19" s="4">
        <v>18</v>
      </c>
      <c r="B19" s="4">
        <v>6</v>
      </c>
      <c r="C19" s="4">
        <v>1384</v>
      </c>
      <c r="D19" s="4" t="s">
        <v>13</v>
      </c>
      <c r="E19" s="4">
        <v>-11.586608349227101</v>
      </c>
      <c r="F19" s="4">
        <v>130.881518242227</v>
      </c>
      <c r="G19" s="4">
        <v>372.5</v>
      </c>
      <c r="H19" s="4">
        <f t="shared" si="0"/>
        <v>18</v>
      </c>
      <c r="I19" s="4">
        <v>1</v>
      </c>
      <c r="J19" s="4">
        <v>1</v>
      </c>
      <c r="K19" s="4">
        <v>3</v>
      </c>
      <c r="L19" s="9">
        <v>0.17</v>
      </c>
      <c r="M19" s="6">
        <v>1370</v>
      </c>
      <c r="N19" s="6">
        <v>890</v>
      </c>
      <c r="O19" s="6">
        <v>2246.5485256593311</v>
      </c>
      <c r="P19" s="6">
        <v>1550.6083283742009</v>
      </c>
      <c r="Q19" s="5" t="s">
        <v>7</v>
      </c>
      <c r="R19" s="5" t="s">
        <v>10</v>
      </c>
      <c r="S19" s="5" t="s">
        <v>17</v>
      </c>
      <c r="T19" s="4">
        <v>2027</v>
      </c>
      <c r="U19" s="5" t="s">
        <v>12</v>
      </c>
      <c r="V19" s="6" t="s">
        <v>62</v>
      </c>
      <c r="W19" s="6" t="s">
        <v>71</v>
      </c>
      <c r="X19" s="6">
        <v>16</v>
      </c>
      <c r="Y19" s="6">
        <v>38</v>
      </c>
      <c r="Z19" s="13" t="s">
        <v>91</v>
      </c>
    </row>
    <row r="20" spans="1:26" x14ac:dyDescent="0.3">
      <c r="A20" s="4">
        <v>19</v>
      </c>
      <c r="B20" s="4">
        <v>18</v>
      </c>
      <c r="C20" s="4">
        <v>1543</v>
      </c>
      <c r="D20" s="4" t="s">
        <v>23</v>
      </c>
      <c r="E20" s="4">
        <v>39.6217064512335</v>
      </c>
      <c r="F20" s="4">
        <v>109.728046667016</v>
      </c>
      <c r="G20" s="4">
        <f>100*3.9</f>
        <v>390</v>
      </c>
      <c r="H20" s="4">
        <f t="shared" si="0"/>
        <v>19</v>
      </c>
      <c r="I20" s="4">
        <v>1</v>
      </c>
      <c r="J20" s="4"/>
      <c r="K20" s="4">
        <v>3</v>
      </c>
      <c r="L20" s="9">
        <v>0.06</v>
      </c>
      <c r="M20" s="6">
        <v>990</v>
      </c>
      <c r="N20" s="6">
        <v>670</v>
      </c>
      <c r="O20" s="6">
        <v>3386.9274785435819</v>
      </c>
      <c r="P20" s="6">
        <v>1615.8603539874748</v>
      </c>
      <c r="Q20" s="5" t="s">
        <v>7</v>
      </c>
      <c r="R20" s="5" t="s">
        <v>10</v>
      </c>
      <c r="S20" s="5" t="s">
        <v>27</v>
      </c>
      <c r="T20" s="4">
        <v>2026</v>
      </c>
      <c r="U20" s="5" t="s">
        <v>8</v>
      </c>
      <c r="V20" s="6" t="s">
        <v>65</v>
      </c>
      <c r="W20" s="6" t="s">
        <v>72</v>
      </c>
      <c r="X20" s="6">
        <v>12</v>
      </c>
      <c r="Y20" s="6">
        <v>26</v>
      </c>
      <c r="Z20" s="13" t="s">
        <v>82</v>
      </c>
    </row>
    <row r="21" spans="1:26" x14ac:dyDescent="0.3">
      <c r="A21" s="4">
        <v>20</v>
      </c>
      <c r="B21" s="4">
        <v>22</v>
      </c>
      <c r="C21" s="4">
        <v>2340</v>
      </c>
      <c r="D21" s="4" t="s">
        <v>29</v>
      </c>
      <c r="E21" s="4">
        <v>3.5996581061734001</v>
      </c>
      <c r="F21" s="4">
        <v>-76.398609009924797</v>
      </c>
      <c r="G21" s="4">
        <v>30</v>
      </c>
      <c r="H21" s="4">
        <f t="shared" si="0"/>
        <v>1</v>
      </c>
      <c r="I21" s="4">
        <v>1</v>
      </c>
      <c r="J21" s="4"/>
      <c r="K21" s="4">
        <v>3</v>
      </c>
      <c r="L21" s="9">
        <v>0.2</v>
      </c>
      <c r="M21" s="6">
        <v>1080</v>
      </c>
      <c r="N21" s="6">
        <v>730</v>
      </c>
      <c r="O21" s="6">
        <v>657.27138744023807</v>
      </c>
      <c r="P21" s="6">
        <v>1508.5927538655174</v>
      </c>
      <c r="Q21" s="5" t="s">
        <v>7</v>
      </c>
      <c r="R21" s="5" t="s">
        <v>10</v>
      </c>
      <c r="S21" s="5" t="s">
        <v>30</v>
      </c>
      <c r="T21" s="4">
        <v>2027</v>
      </c>
      <c r="U21" s="5" t="s">
        <v>12</v>
      </c>
      <c r="V21" s="6" t="s">
        <v>55</v>
      </c>
      <c r="W21" s="6" t="s">
        <v>69</v>
      </c>
      <c r="X21" s="6">
        <v>10</v>
      </c>
      <c r="Y21" s="6">
        <v>26</v>
      </c>
      <c r="Z21" s="13" t="s">
        <v>85</v>
      </c>
    </row>
    <row r="22" spans="1:26" x14ac:dyDescent="0.3">
      <c r="A22" s="4">
        <v>21</v>
      </c>
      <c r="B22" s="4">
        <v>35</v>
      </c>
      <c r="C22" s="4">
        <v>2182</v>
      </c>
      <c r="D22" s="4" t="s">
        <v>35</v>
      </c>
      <c r="E22" s="4">
        <v>38.716310818132399</v>
      </c>
      <c r="F22" s="4">
        <v>-4.1579541462298399</v>
      </c>
      <c r="G22" s="4">
        <v>70</v>
      </c>
      <c r="H22" s="4">
        <f t="shared" si="0"/>
        <v>3</v>
      </c>
      <c r="I22" s="4">
        <v>1</v>
      </c>
      <c r="J22" s="4"/>
      <c r="K22" s="4">
        <v>3</v>
      </c>
      <c r="L22" s="9">
        <v>0.13</v>
      </c>
      <c r="M22" s="6">
        <v>1630</v>
      </c>
      <c r="N22" s="6">
        <v>750</v>
      </c>
      <c r="O22" s="6">
        <v>2330.4498119236282</v>
      </c>
      <c r="P22" s="6">
        <v>1613.1203481656146</v>
      </c>
      <c r="Q22" s="5" t="s">
        <v>7</v>
      </c>
      <c r="R22" s="5" t="s">
        <v>10</v>
      </c>
      <c r="S22" s="5" t="s">
        <v>36</v>
      </c>
      <c r="T22" s="4">
        <v>2026</v>
      </c>
      <c r="U22" s="5" t="s">
        <v>14</v>
      </c>
      <c r="V22" s="6" t="s">
        <v>56</v>
      </c>
      <c r="W22" s="6" t="s">
        <v>70</v>
      </c>
      <c r="X22" s="6">
        <v>12</v>
      </c>
      <c r="Y22" s="6">
        <v>42</v>
      </c>
      <c r="Z22" s="13" t="s">
        <v>92</v>
      </c>
    </row>
    <row r="23" spans="1:26" x14ac:dyDescent="0.3">
      <c r="A23" s="4">
        <v>22</v>
      </c>
      <c r="B23" s="4">
        <v>36</v>
      </c>
      <c r="C23" s="4">
        <v>2251</v>
      </c>
      <c r="D23" s="4" t="s">
        <v>35</v>
      </c>
      <c r="E23" s="4">
        <v>38.676022674153501</v>
      </c>
      <c r="F23" s="4">
        <v>-4.0577736465471599</v>
      </c>
      <c r="G23" s="4">
        <v>30</v>
      </c>
      <c r="H23" s="4">
        <f t="shared" si="0"/>
        <v>1</v>
      </c>
      <c r="I23" s="4">
        <v>1</v>
      </c>
      <c r="J23" s="4"/>
      <c r="K23" s="4">
        <v>3</v>
      </c>
      <c r="L23" s="9">
        <v>0.13</v>
      </c>
      <c r="M23" s="6">
        <v>1630</v>
      </c>
      <c r="N23" s="6">
        <v>750</v>
      </c>
      <c r="O23" s="6">
        <v>2253.3037338447011</v>
      </c>
      <c r="P23" s="6">
        <v>1604.6530595665683</v>
      </c>
      <c r="Q23" s="5" t="s">
        <v>7</v>
      </c>
      <c r="R23" s="5" t="s">
        <v>10</v>
      </c>
      <c r="S23" s="5" t="s">
        <v>37</v>
      </c>
      <c r="T23" s="4">
        <v>2026</v>
      </c>
      <c r="U23" s="5" t="s">
        <v>12</v>
      </c>
      <c r="V23" s="6" t="s">
        <v>56</v>
      </c>
      <c r="W23" s="6" t="s">
        <v>70</v>
      </c>
      <c r="X23" s="6">
        <v>12</v>
      </c>
      <c r="Y23" s="6">
        <v>42</v>
      </c>
      <c r="Z23" s="13" t="s">
        <v>92</v>
      </c>
    </row>
    <row r="24" spans="1:26" x14ac:dyDescent="0.3">
      <c r="A24" s="4">
        <v>23</v>
      </c>
      <c r="B24" s="4">
        <v>41</v>
      </c>
      <c r="C24" s="4">
        <v>1748</v>
      </c>
      <c r="D24" s="4" t="s">
        <v>38</v>
      </c>
      <c r="E24" s="4">
        <v>44.909393999999999</v>
      </c>
      <c r="F24" s="4">
        <v>-0.53684699999999996</v>
      </c>
      <c r="G24" s="4">
        <v>100</v>
      </c>
      <c r="H24" s="4">
        <f t="shared" si="0"/>
        <v>5</v>
      </c>
      <c r="I24" s="4"/>
      <c r="J24" s="4"/>
      <c r="K24" s="4">
        <v>3</v>
      </c>
      <c r="L24" s="9">
        <v>0.13</v>
      </c>
      <c r="M24" s="6">
        <v>1630</v>
      </c>
      <c r="N24" s="6">
        <v>750</v>
      </c>
      <c r="O24" s="6">
        <v>2746.1674521526365</v>
      </c>
      <c r="P24" s="6">
        <v>1232.3338353792326</v>
      </c>
      <c r="Q24" s="5" t="s">
        <v>7</v>
      </c>
      <c r="R24" s="5" t="s">
        <v>10</v>
      </c>
      <c r="S24" s="5" t="s">
        <v>39</v>
      </c>
      <c r="T24" s="4">
        <v>2028</v>
      </c>
      <c r="U24" s="5" t="s">
        <v>12</v>
      </c>
      <c r="V24" s="6" t="s">
        <v>57</v>
      </c>
      <c r="W24" s="6" t="s">
        <v>70</v>
      </c>
      <c r="X24" s="6">
        <v>12</v>
      </c>
      <c r="Y24" s="6">
        <v>42</v>
      </c>
      <c r="Z24" s="13" t="s">
        <v>86</v>
      </c>
    </row>
    <row r="25" spans="1:26" x14ac:dyDescent="0.3">
      <c r="A25" s="4">
        <v>24</v>
      </c>
      <c r="B25" s="4">
        <v>61</v>
      </c>
      <c r="C25" s="4">
        <v>1881</v>
      </c>
      <c r="D25" s="4" t="s">
        <v>46</v>
      </c>
      <c r="E25" s="4">
        <v>37.958893568872803</v>
      </c>
      <c r="F25" s="4">
        <v>-8.8600732888896907</v>
      </c>
      <c r="G25" s="4">
        <v>500</v>
      </c>
      <c r="H25" s="4">
        <f t="shared" si="0"/>
        <v>25</v>
      </c>
      <c r="I25" s="4"/>
      <c r="J25" s="4"/>
      <c r="K25" s="4">
        <v>3</v>
      </c>
      <c r="L25" s="9">
        <v>0.12</v>
      </c>
      <c r="M25" s="6">
        <v>1630</v>
      </c>
      <c r="N25" s="6">
        <v>750</v>
      </c>
      <c r="O25" s="6">
        <v>3042.9763172435851</v>
      </c>
      <c r="P25" s="6">
        <v>1628.6315124271027</v>
      </c>
      <c r="Q25" s="5" t="s">
        <v>28</v>
      </c>
      <c r="R25" s="5" t="s">
        <v>10</v>
      </c>
      <c r="S25" s="5" t="s">
        <v>47</v>
      </c>
      <c r="T25" s="4">
        <v>2028</v>
      </c>
      <c r="U25" s="5" t="s">
        <v>12</v>
      </c>
      <c r="V25" s="6" t="s">
        <v>67</v>
      </c>
      <c r="W25" s="6" t="s">
        <v>70</v>
      </c>
      <c r="X25" s="6">
        <v>12</v>
      </c>
      <c r="Y25" s="6">
        <v>42</v>
      </c>
      <c r="Z25" s="13" t="s">
        <v>86</v>
      </c>
    </row>
  </sheetData>
  <sortState xmlns:xlrd2="http://schemas.microsoft.com/office/spreadsheetml/2017/richdata2" ref="B2:U25">
    <sortCondition ref="R2:R25"/>
  </sortState>
  <mergeCells count="2">
    <mergeCell ref="Q1:R1"/>
    <mergeCell ref="S1:U1"/>
  </mergeCells>
  <phoneticPr fontId="3" type="noConversion"/>
  <conditionalFormatting sqref="G23">
    <cfRule type="expression" dxfId="3" priority="9" stopIfTrue="1">
      <formula>#REF!="Confidential"</formula>
    </cfRule>
  </conditionalFormatting>
  <conditionalFormatting sqref="L23:M23 W24:Y24 M24:P24 V23:W23 O23:P23">
    <cfRule type="expression" dxfId="2" priority="6" stopIfTrue="1">
      <formula>#REF!="Confidential"</formula>
    </cfRule>
  </conditionalFormatting>
  <conditionalFormatting sqref="Z23">
    <cfRule type="expression" dxfId="1" priority="2" stopIfTrue="1">
      <formula>#REF!="Confidential"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ED06-803C-4CD7-812A-5721BA8F261F}">
  <dimension ref="A1:Q40"/>
  <sheetViews>
    <sheetView tabSelected="1" topLeftCell="A22" workbookViewId="0">
      <selection activeCell="N28" sqref="N28:N40"/>
    </sheetView>
  </sheetViews>
  <sheetFormatPr defaultRowHeight="14" x14ac:dyDescent="0.3"/>
  <cols>
    <col min="1" max="1" width="8.83203125" bestFit="1" customWidth="1"/>
  </cols>
  <sheetData>
    <row r="1" spans="1:17" x14ac:dyDescent="0.3">
      <c r="A1">
        <v>1</v>
      </c>
      <c r="B1">
        <v>0.3</v>
      </c>
      <c r="C1">
        <v>0.3</v>
      </c>
      <c r="D1">
        <v>1</v>
      </c>
      <c r="E1">
        <v>1</v>
      </c>
      <c r="F1">
        <v>0</v>
      </c>
      <c r="G1">
        <v>0</v>
      </c>
      <c r="H1">
        <v>0.45</v>
      </c>
      <c r="I1">
        <v>0.15</v>
      </c>
      <c r="J1">
        <v>6.1159326126881302E-4</v>
      </c>
      <c r="K1">
        <v>4.5755364106393298E-4</v>
      </c>
      <c r="L1">
        <v>0.12992966870660899</v>
      </c>
      <c r="M1">
        <v>1.08083383945598E-3</v>
      </c>
      <c r="N1" s="6">
        <v>3120</v>
      </c>
      <c r="O1" s="6">
        <v>3915.9628173713795</v>
      </c>
      <c r="P1">
        <f t="shared" ref="P1:P6" si="0">AVERAGE(B1:E1)</f>
        <v>0.65</v>
      </c>
      <c r="Q1">
        <f t="shared" ref="Q1:Q6" si="1">AVERAGE(F1:I1)</f>
        <v>0.15</v>
      </c>
    </row>
    <row r="2" spans="1:17" x14ac:dyDescent="0.3">
      <c r="A2">
        <v>2</v>
      </c>
      <c r="B2">
        <v>0.6</v>
      </c>
      <c r="C2">
        <v>0.6</v>
      </c>
      <c r="D2">
        <v>0.6</v>
      </c>
      <c r="E2">
        <v>0.6</v>
      </c>
      <c r="F2">
        <v>0</v>
      </c>
      <c r="G2">
        <v>0</v>
      </c>
      <c r="H2">
        <v>6.6666666666666693E-2</v>
      </c>
      <c r="I2">
        <v>0</v>
      </c>
      <c r="J2">
        <v>4.6333412655983801E-3</v>
      </c>
      <c r="K2">
        <v>3.6817008571815601E-3</v>
      </c>
      <c r="L2">
        <v>5.4735841380122198E-3</v>
      </c>
      <c r="M2">
        <v>3.7577662591954499E-3</v>
      </c>
      <c r="N2" s="6">
        <v>3120</v>
      </c>
      <c r="O2" s="6">
        <v>4460.1375873619181</v>
      </c>
      <c r="P2">
        <f t="shared" si="0"/>
        <v>0.6</v>
      </c>
      <c r="Q2">
        <f t="shared" si="1"/>
        <v>1.6666666666666673E-2</v>
      </c>
    </row>
    <row r="3" spans="1:17" x14ac:dyDescent="0.3">
      <c r="A3">
        <v>3</v>
      </c>
      <c r="B3">
        <v>0.2</v>
      </c>
      <c r="C3">
        <v>0.2</v>
      </c>
      <c r="D3">
        <v>0.2</v>
      </c>
      <c r="E3">
        <v>0.2</v>
      </c>
      <c r="F3">
        <v>0</v>
      </c>
      <c r="G3">
        <v>0</v>
      </c>
      <c r="H3">
        <v>0</v>
      </c>
      <c r="I3">
        <v>0</v>
      </c>
      <c r="J3">
        <v>3.8777735078393799E-4</v>
      </c>
      <c r="K3">
        <v>3.0946120226136399E-4</v>
      </c>
      <c r="L3">
        <v>4.0859240603821498E-4</v>
      </c>
      <c r="M3">
        <v>3.1263876313402999E-4</v>
      </c>
      <c r="N3" s="6">
        <v>3120</v>
      </c>
      <c r="O3" s="6">
        <v>4052.3710350029855</v>
      </c>
      <c r="P3">
        <f t="shared" si="0"/>
        <v>0.2</v>
      </c>
      <c r="Q3">
        <f t="shared" si="1"/>
        <v>0</v>
      </c>
    </row>
    <row r="4" spans="1:17" x14ac:dyDescent="0.3">
      <c r="A4">
        <v>4</v>
      </c>
      <c r="B4">
        <v>0.2</v>
      </c>
      <c r="C4">
        <v>0.2</v>
      </c>
      <c r="D4">
        <v>0.2</v>
      </c>
      <c r="E4">
        <v>0.2</v>
      </c>
      <c r="F4">
        <v>0</v>
      </c>
      <c r="G4">
        <v>0</v>
      </c>
      <c r="H4">
        <v>0</v>
      </c>
      <c r="I4">
        <v>0</v>
      </c>
      <c r="J4">
        <v>3.8799834302998898E-4</v>
      </c>
      <c r="K4">
        <v>3.0949637178691699E-4</v>
      </c>
      <c r="L4">
        <v>4.1105935150273601E-4</v>
      </c>
      <c r="M4">
        <v>3.1299808963186599E-4</v>
      </c>
      <c r="N4" s="6">
        <v>3120</v>
      </c>
      <c r="O4" s="6">
        <v>4460.1375873619181</v>
      </c>
      <c r="P4">
        <f t="shared" si="0"/>
        <v>0.2</v>
      </c>
      <c r="Q4">
        <f t="shared" si="1"/>
        <v>0</v>
      </c>
    </row>
    <row r="5" spans="1:17" x14ac:dyDescent="0.3">
      <c r="A5">
        <v>5</v>
      </c>
      <c r="B5">
        <v>0.2</v>
      </c>
      <c r="C5">
        <v>0.2</v>
      </c>
      <c r="D5">
        <v>0.2</v>
      </c>
      <c r="E5">
        <v>0.2</v>
      </c>
      <c r="F5">
        <v>0</v>
      </c>
      <c r="G5">
        <v>0</v>
      </c>
      <c r="H5">
        <v>0</v>
      </c>
      <c r="I5">
        <v>0</v>
      </c>
      <c r="J5">
        <v>9.9601499193115498E-4</v>
      </c>
      <c r="K5">
        <v>7.94729297594546E-4</v>
      </c>
      <c r="L5">
        <v>1.0469374913210799E-3</v>
      </c>
      <c r="M5">
        <v>8.0251568205794805E-4</v>
      </c>
      <c r="N5" s="6">
        <v>3120</v>
      </c>
      <c r="O5" s="6">
        <v>4460.1375873619181</v>
      </c>
      <c r="P5">
        <f t="shared" si="0"/>
        <v>0.2</v>
      </c>
      <c r="Q5">
        <f t="shared" si="1"/>
        <v>0</v>
      </c>
    </row>
    <row r="6" spans="1:17" x14ac:dyDescent="0.3">
      <c r="A6">
        <v>6</v>
      </c>
      <c r="B6">
        <v>0.4</v>
      </c>
      <c r="C6">
        <v>0.4</v>
      </c>
      <c r="D6">
        <v>0.4</v>
      </c>
      <c r="E6">
        <v>0.4</v>
      </c>
      <c r="F6">
        <v>0</v>
      </c>
      <c r="G6">
        <v>0</v>
      </c>
      <c r="H6">
        <v>0</v>
      </c>
      <c r="I6">
        <v>0</v>
      </c>
      <c r="J6">
        <v>1.0811831213119901E-3</v>
      </c>
      <c r="K6">
        <v>8.6256109095205196E-4</v>
      </c>
      <c r="L6">
        <v>1.13886658163123E-3</v>
      </c>
      <c r="M6">
        <v>8.7136364104553198E-4</v>
      </c>
      <c r="N6" s="6">
        <v>3120</v>
      </c>
      <c r="O6" s="6">
        <v>4052.3710350029855</v>
      </c>
      <c r="P6">
        <f t="shared" si="0"/>
        <v>0.4</v>
      </c>
      <c r="Q6">
        <f t="shared" si="1"/>
        <v>0</v>
      </c>
    </row>
    <row r="7" spans="1:17" x14ac:dyDescent="0.3">
      <c r="A7">
        <v>7</v>
      </c>
      <c r="B7">
        <v>0.4</v>
      </c>
      <c r="C7">
        <v>0.4</v>
      </c>
      <c r="D7">
        <v>0.4</v>
      </c>
      <c r="E7">
        <v>0.4</v>
      </c>
      <c r="F7">
        <v>0</v>
      </c>
      <c r="G7">
        <v>0</v>
      </c>
      <c r="H7">
        <v>0</v>
      </c>
      <c r="I7">
        <v>0</v>
      </c>
      <c r="J7">
        <v>1.08766081829625E-3</v>
      </c>
      <c r="K7">
        <v>8.63586893568306E-4</v>
      </c>
      <c r="L7">
        <v>1.21509388796958E-3</v>
      </c>
      <c r="M7">
        <v>8.8194666188674397E-4</v>
      </c>
      <c r="N7" s="6">
        <v>1370</v>
      </c>
      <c r="O7" s="6">
        <v>3662.4761207537158</v>
      </c>
      <c r="P7">
        <f t="shared" ref="P7:P24" si="2">AVERAGE(B7:E7)</f>
        <v>0.4</v>
      </c>
      <c r="Q7">
        <f t="shared" ref="Q7:Q24" si="3">AVERAGE(F7:I7)</f>
        <v>0</v>
      </c>
    </row>
    <row r="8" spans="1:17" x14ac:dyDescent="0.3">
      <c r="A8">
        <v>8</v>
      </c>
      <c r="B8">
        <v>0.3</v>
      </c>
      <c r="C8">
        <v>0.3</v>
      </c>
      <c r="D8">
        <v>0.3</v>
      </c>
      <c r="E8">
        <v>0.3</v>
      </c>
      <c r="F8">
        <v>0</v>
      </c>
      <c r="G8">
        <v>0</v>
      </c>
      <c r="H8">
        <v>0</v>
      </c>
      <c r="I8">
        <v>0</v>
      </c>
      <c r="J8">
        <v>6.6995401429426201E-4</v>
      </c>
      <c r="K8">
        <v>5.3477072001333103E-4</v>
      </c>
      <c r="L8">
        <v>7.0031064568933099E-4</v>
      </c>
      <c r="M8">
        <v>5.3943695038384705E-4</v>
      </c>
      <c r="N8" s="6">
        <v>1080</v>
      </c>
      <c r="O8" s="6">
        <v>1391.1208329947337</v>
      </c>
      <c r="P8">
        <f t="shared" si="2"/>
        <v>0.3</v>
      </c>
      <c r="Q8">
        <f t="shared" si="3"/>
        <v>0</v>
      </c>
    </row>
    <row r="9" spans="1:17" x14ac:dyDescent="0.3">
      <c r="A9">
        <v>9</v>
      </c>
      <c r="B9">
        <v>0.2</v>
      </c>
      <c r="C9">
        <v>0.2</v>
      </c>
      <c r="D9">
        <v>0.2</v>
      </c>
      <c r="E9">
        <v>0.2</v>
      </c>
      <c r="F9">
        <v>0</v>
      </c>
      <c r="G9">
        <v>0</v>
      </c>
      <c r="H9">
        <v>0</v>
      </c>
      <c r="I9">
        <v>0</v>
      </c>
      <c r="J9">
        <v>8.0223612215594097E-4</v>
      </c>
      <c r="K9">
        <v>6.3802649950511498E-4</v>
      </c>
      <c r="L9">
        <v>8.7742937974028999E-4</v>
      </c>
      <c r="M9">
        <v>6.4908625829770701E-4</v>
      </c>
      <c r="N9" s="6">
        <v>1500</v>
      </c>
      <c r="O9" s="6">
        <v>3355.2202835991834</v>
      </c>
      <c r="P9">
        <f t="shared" si="2"/>
        <v>0.2</v>
      </c>
      <c r="Q9">
        <f t="shared" si="3"/>
        <v>0</v>
      </c>
    </row>
    <row r="10" spans="1:17" x14ac:dyDescent="0.3">
      <c r="A10">
        <v>10</v>
      </c>
      <c r="B10">
        <v>0.2</v>
      </c>
      <c r="C10">
        <v>0.2</v>
      </c>
      <c r="D10">
        <v>0.2</v>
      </c>
      <c r="E10">
        <v>0.2</v>
      </c>
      <c r="F10">
        <v>0</v>
      </c>
      <c r="G10">
        <v>0</v>
      </c>
      <c r="H10">
        <v>0</v>
      </c>
      <c r="I10">
        <v>0</v>
      </c>
      <c r="J10">
        <v>1.9379045599588401E-4</v>
      </c>
      <c r="K10">
        <v>1.54333855688838E-4</v>
      </c>
      <c r="L10">
        <v>2.0756084807335099E-4</v>
      </c>
      <c r="M10">
        <v>1.5639973869255701E-4</v>
      </c>
      <c r="N10" s="6">
        <v>1500</v>
      </c>
      <c r="O10" s="6">
        <v>3355.2202835991834</v>
      </c>
      <c r="P10">
        <f t="shared" si="2"/>
        <v>0.2</v>
      </c>
      <c r="Q10">
        <f t="shared" si="3"/>
        <v>0</v>
      </c>
    </row>
    <row r="11" spans="1:17" x14ac:dyDescent="0.3">
      <c r="A11">
        <v>11</v>
      </c>
      <c r="B11">
        <v>0.2</v>
      </c>
      <c r="C11">
        <v>0.2</v>
      </c>
      <c r="D11">
        <v>0.2</v>
      </c>
      <c r="E11">
        <v>0.2</v>
      </c>
      <c r="F11">
        <v>0</v>
      </c>
      <c r="G11">
        <v>0</v>
      </c>
      <c r="H11">
        <v>0</v>
      </c>
      <c r="I11">
        <v>0</v>
      </c>
      <c r="J11">
        <v>3.79968566412868E-4</v>
      </c>
      <c r="K11">
        <v>3.0098661372425598E-4</v>
      </c>
      <c r="L11">
        <v>4.3601395235472499E-4</v>
      </c>
      <c r="M11">
        <v>3.0884845793988498E-4</v>
      </c>
      <c r="N11" s="6">
        <v>990</v>
      </c>
      <c r="O11" s="6">
        <v>3873.8929283639809</v>
      </c>
      <c r="P11">
        <f t="shared" si="2"/>
        <v>0.2</v>
      </c>
      <c r="Q11">
        <f t="shared" si="3"/>
        <v>0</v>
      </c>
    </row>
    <row r="12" spans="1:17" x14ac:dyDescent="0.3">
      <c r="A12">
        <v>12</v>
      </c>
      <c r="B12">
        <v>0.2</v>
      </c>
      <c r="C12">
        <v>0.2</v>
      </c>
      <c r="D12">
        <v>0.2</v>
      </c>
      <c r="E12">
        <v>0.2</v>
      </c>
      <c r="F12">
        <v>0</v>
      </c>
      <c r="G12">
        <v>0</v>
      </c>
      <c r="H12">
        <v>0</v>
      </c>
      <c r="I12">
        <v>0</v>
      </c>
      <c r="J12">
        <v>1.9454541307965399E-4</v>
      </c>
      <c r="K12">
        <v>1.5445319045385899E-4</v>
      </c>
      <c r="L12">
        <v>2.16561967181416E-4</v>
      </c>
      <c r="M12">
        <v>1.57633964761434E-4</v>
      </c>
      <c r="N12" s="6">
        <v>990</v>
      </c>
      <c r="O12" s="6">
        <v>3380.201987766658</v>
      </c>
      <c r="P12">
        <f t="shared" si="2"/>
        <v>0.2</v>
      </c>
      <c r="Q12">
        <f t="shared" si="3"/>
        <v>0</v>
      </c>
    </row>
    <row r="13" spans="1:17" x14ac:dyDescent="0.3">
      <c r="A13">
        <v>13</v>
      </c>
      <c r="B13">
        <v>0.2</v>
      </c>
      <c r="C13">
        <v>0.2</v>
      </c>
      <c r="D13">
        <v>0.2</v>
      </c>
      <c r="E13">
        <v>0.2</v>
      </c>
      <c r="F13">
        <v>0</v>
      </c>
      <c r="G13">
        <v>0</v>
      </c>
      <c r="H13">
        <v>0</v>
      </c>
      <c r="I13">
        <v>0</v>
      </c>
      <c r="J13">
        <v>1.9454541307965399E-4</v>
      </c>
      <c r="K13">
        <v>1.5445319045385899E-4</v>
      </c>
      <c r="L13">
        <v>2.16561967181416E-4</v>
      </c>
      <c r="M13">
        <v>1.57633964761434E-4</v>
      </c>
      <c r="N13" s="6">
        <v>990</v>
      </c>
      <c r="O13" s="6">
        <v>3380.201987766658</v>
      </c>
      <c r="P13">
        <f t="shared" si="2"/>
        <v>0.2</v>
      </c>
      <c r="Q13">
        <f t="shared" si="3"/>
        <v>0</v>
      </c>
    </row>
    <row r="14" spans="1:17" x14ac:dyDescent="0.3">
      <c r="A14">
        <v>14</v>
      </c>
      <c r="B14">
        <v>0.2</v>
      </c>
      <c r="C14">
        <v>0.2</v>
      </c>
      <c r="D14">
        <v>0.2</v>
      </c>
      <c r="E14">
        <v>0.2</v>
      </c>
      <c r="F14">
        <v>0</v>
      </c>
      <c r="G14">
        <v>0</v>
      </c>
      <c r="H14">
        <v>0</v>
      </c>
      <c r="I14">
        <v>0</v>
      </c>
      <c r="J14">
        <v>3.7749695654266398E-4</v>
      </c>
      <c r="K14">
        <v>3.0059685986456901E-4</v>
      </c>
      <c r="L14">
        <v>4.05544953507148E-4</v>
      </c>
      <c r="M14">
        <v>3.0479328263678998E-4</v>
      </c>
      <c r="N14" s="6">
        <v>1630</v>
      </c>
      <c r="O14" s="6">
        <v>3454.2805827779493</v>
      </c>
      <c r="P14">
        <f t="shared" si="2"/>
        <v>0.2</v>
      </c>
      <c r="Q14">
        <f t="shared" si="3"/>
        <v>0</v>
      </c>
    </row>
    <row r="15" spans="1:17" x14ac:dyDescent="0.3">
      <c r="A15">
        <v>15</v>
      </c>
      <c r="B15">
        <v>0.5</v>
      </c>
      <c r="C15">
        <v>0.5</v>
      </c>
      <c r="D15">
        <v>0.5</v>
      </c>
      <c r="E15">
        <v>0.5</v>
      </c>
      <c r="F15">
        <v>0</v>
      </c>
      <c r="G15">
        <v>0</v>
      </c>
      <c r="H15">
        <v>0</v>
      </c>
      <c r="I15">
        <v>0</v>
      </c>
      <c r="J15">
        <v>8.9919865097354702E-4</v>
      </c>
      <c r="K15">
        <v>7.1737118636371099E-4</v>
      </c>
      <c r="L15">
        <v>9.4965854032505101E-4</v>
      </c>
      <c r="M15">
        <v>7.2505502209407597E-4</v>
      </c>
      <c r="N15" s="6">
        <v>1630</v>
      </c>
      <c r="O15" s="6">
        <v>2515.9641502521877</v>
      </c>
      <c r="P15">
        <f t="shared" si="2"/>
        <v>0.5</v>
      </c>
      <c r="Q15">
        <f t="shared" si="3"/>
        <v>0</v>
      </c>
    </row>
    <row r="16" spans="1:17" x14ac:dyDescent="0.3">
      <c r="A16">
        <v>16</v>
      </c>
      <c r="B16">
        <v>0.2</v>
      </c>
      <c r="C16">
        <v>0.2</v>
      </c>
      <c r="D16">
        <v>0.2</v>
      </c>
      <c r="E16">
        <v>0.2</v>
      </c>
      <c r="F16">
        <v>0</v>
      </c>
      <c r="G16">
        <v>0</v>
      </c>
      <c r="H16">
        <v>0</v>
      </c>
      <c r="I16">
        <v>0</v>
      </c>
      <c r="J16">
        <v>5.83365872470039E-4</v>
      </c>
      <c r="K16">
        <v>4.6388939283471798E-4</v>
      </c>
      <c r="L16">
        <v>6.3980829081745005E-4</v>
      </c>
      <c r="M16">
        <v>4.7217010460374797E-4</v>
      </c>
      <c r="N16" s="6">
        <v>1500</v>
      </c>
      <c r="O16" s="6">
        <v>4117.7080539355547</v>
      </c>
      <c r="P16">
        <f t="shared" si="2"/>
        <v>0.2</v>
      </c>
      <c r="Q16">
        <f t="shared" si="3"/>
        <v>0</v>
      </c>
    </row>
    <row r="17" spans="1:17" x14ac:dyDescent="0.3">
      <c r="A17">
        <v>17</v>
      </c>
      <c r="B17">
        <v>1</v>
      </c>
      <c r="C17">
        <v>1</v>
      </c>
      <c r="D17">
        <v>1</v>
      </c>
      <c r="E17">
        <v>1</v>
      </c>
      <c r="F17">
        <v>0.28888888888888897</v>
      </c>
      <c r="G17">
        <v>0.266666666666667</v>
      </c>
      <c r="H17">
        <v>0.33333333333333298</v>
      </c>
      <c r="I17">
        <v>0.31111111111111101</v>
      </c>
      <c r="J17">
        <v>1.74081766952358E-2</v>
      </c>
      <c r="K17">
        <v>1.3734374465437901E-2</v>
      </c>
      <c r="L17">
        <v>2.1070962278643E-2</v>
      </c>
      <c r="M17">
        <v>1.4326536802087401E-2</v>
      </c>
      <c r="N17" s="6">
        <v>610</v>
      </c>
      <c r="O17" s="6">
        <v>1730.6633267604955</v>
      </c>
      <c r="P17">
        <f t="shared" si="2"/>
        <v>1</v>
      </c>
      <c r="Q17">
        <f t="shared" si="3"/>
        <v>0.30000000000000004</v>
      </c>
    </row>
    <row r="18" spans="1:17" x14ac:dyDescent="0.3">
      <c r="A18">
        <v>18</v>
      </c>
      <c r="B18">
        <v>1</v>
      </c>
      <c r="C18">
        <v>1</v>
      </c>
      <c r="D18">
        <v>1</v>
      </c>
      <c r="E18">
        <v>1</v>
      </c>
      <c r="F18">
        <v>0.31111111111111101</v>
      </c>
      <c r="G18">
        <v>0.24444444444444399</v>
      </c>
      <c r="H18">
        <v>0.37777777777777799</v>
      </c>
      <c r="I18">
        <v>0.31111111111111101</v>
      </c>
      <c r="J18">
        <v>2.3817845234242099E-2</v>
      </c>
      <c r="K18">
        <v>1.8741553880062101E-2</v>
      </c>
      <c r="L18">
        <v>2.86334284476817E-2</v>
      </c>
      <c r="M18">
        <v>1.95312760811404E-2</v>
      </c>
      <c r="N18" s="6">
        <v>890</v>
      </c>
      <c r="O18" s="6">
        <v>1550.6083283742009</v>
      </c>
      <c r="P18">
        <f t="shared" si="2"/>
        <v>1</v>
      </c>
      <c r="Q18">
        <f t="shared" si="3"/>
        <v>0.31111111111111101</v>
      </c>
    </row>
    <row r="19" spans="1:17" x14ac:dyDescent="0.3">
      <c r="A19">
        <v>19</v>
      </c>
      <c r="B19">
        <v>1</v>
      </c>
      <c r="C19">
        <v>1</v>
      </c>
      <c r="D19">
        <v>1</v>
      </c>
      <c r="E19">
        <v>1</v>
      </c>
      <c r="F19">
        <v>0.34</v>
      </c>
      <c r="G19">
        <v>0.26</v>
      </c>
      <c r="H19">
        <v>0.52</v>
      </c>
      <c r="I19">
        <v>0.44</v>
      </c>
      <c r="J19">
        <v>2.3261192677138502E-2</v>
      </c>
      <c r="K19">
        <v>1.7036474096804401E-2</v>
      </c>
      <c r="L19">
        <v>7.3050720443475894E-2</v>
      </c>
      <c r="M19">
        <v>2.1896263178760301E-2</v>
      </c>
      <c r="N19" s="6">
        <v>670</v>
      </c>
      <c r="O19" s="6">
        <v>1615.8603539874748</v>
      </c>
      <c r="P19">
        <f t="shared" si="2"/>
        <v>1</v>
      </c>
      <c r="Q19">
        <f t="shared" si="3"/>
        <v>0.39</v>
      </c>
    </row>
    <row r="20" spans="1:17" x14ac:dyDescent="0.3">
      <c r="A20">
        <v>20</v>
      </c>
      <c r="B20">
        <v>1</v>
      </c>
      <c r="C20">
        <v>1</v>
      </c>
      <c r="D20">
        <v>1</v>
      </c>
      <c r="E20">
        <v>1</v>
      </c>
      <c r="F20">
        <v>0.24</v>
      </c>
      <c r="G20">
        <v>0.22</v>
      </c>
      <c r="H20">
        <v>0.34</v>
      </c>
      <c r="I20">
        <v>0.26</v>
      </c>
      <c r="J20">
        <v>2.9237595266989699E-2</v>
      </c>
      <c r="K20">
        <v>2.3054837643390301E-2</v>
      </c>
      <c r="L20">
        <v>3.4228345790841802E-2</v>
      </c>
      <c r="M20">
        <v>2.3818934688027101E-2</v>
      </c>
      <c r="N20" s="6">
        <v>730</v>
      </c>
      <c r="O20" s="6">
        <v>1508.5927538655174</v>
      </c>
      <c r="P20">
        <f t="shared" si="2"/>
        <v>1</v>
      </c>
      <c r="Q20">
        <f t="shared" si="3"/>
        <v>0.26500000000000001</v>
      </c>
    </row>
    <row r="21" spans="1:17" x14ac:dyDescent="0.3">
      <c r="A21">
        <v>21</v>
      </c>
      <c r="B21">
        <v>0.8</v>
      </c>
      <c r="C21">
        <v>0.8</v>
      </c>
      <c r="D21">
        <v>1</v>
      </c>
      <c r="E21">
        <v>0.8</v>
      </c>
      <c r="F21">
        <v>0</v>
      </c>
      <c r="G21">
        <v>0</v>
      </c>
      <c r="H21">
        <v>0.155555555555556</v>
      </c>
      <c r="I21">
        <v>0</v>
      </c>
      <c r="J21">
        <v>1.3008224352056201E-2</v>
      </c>
      <c r="K21">
        <v>1.0290579062154999E-2</v>
      </c>
      <c r="L21">
        <v>1.6325921437812599E-2</v>
      </c>
      <c r="M21">
        <v>1.05694366200841E-2</v>
      </c>
      <c r="N21" s="6">
        <v>750</v>
      </c>
      <c r="O21" s="6">
        <v>1613.1203481656146</v>
      </c>
      <c r="P21">
        <f t="shared" si="2"/>
        <v>0.85000000000000009</v>
      </c>
      <c r="Q21">
        <f t="shared" si="3"/>
        <v>3.8888888888889001E-2</v>
      </c>
    </row>
    <row r="22" spans="1:17" x14ac:dyDescent="0.3">
      <c r="A22">
        <v>22</v>
      </c>
      <c r="B22">
        <v>0.8</v>
      </c>
      <c r="C22">
        <v>0.8</v>
      </c>
      <c r="D22">
        <v>1</v>
      </c>
      <c r="E22">
        <v>0.8</v>
      </c>
      <c r="F22">
        <v>0</v>
      </c>
      <c r="G22">
        <v>0</v>
      </c>
      <c r="H22">
        <v>0.155555555555556</v>
      </c>
      <c r="I22">
        <v>0</v>
      </c>
      <c r="J22">
        <v>1.2626328752361299E-2</v>
      </c>
      <c r="K22">
        <v>9.9926139897267494E-3</v>
      </c>
      <c r="L22">
        <v>1.56036201443648E-2</v>
      </c>
      <c r="M22">
        <v>1.0255509106944401E-2</v>
      </c>
      <c r="N22" s="6">
        <v>750</v>
      </c>
      <c r="O22" s="6">
        <v>1604.6530595665683</v>
      </c>
      <c r="P22">
        <f t="shared" si="2"/>
        <v>0.85000000000000009</v>
      </c>
      <c r="Q22">
        <f t="shared" si="3"/>
        <v>3.8888888888889001E-2</v>
      </c>
    </row>
    <row r="23" spans="1:17" x14ac:dyDescent="0.3">
      <c r="A23">
        <v>23</v>
      </c>
      <c r="B23">
        <v>0.8</v>
      </c>
      <c r="C23">
        <v>0.8</v>
      </c>
      <c r="D23">
        <v>1</v>
      </c>
      <c r="E23">
        <v>0.8</v>
      </c>
      <c r="F23">
        <v>0</v>
      </c>
      <c r="G23">
        <v>0</v>
      </c>
      <c r="H23">
        <v>0.27500000000000002</v>
      </c>
      <c r="I23">
        <v>0</v>
      </c>
      <c r="J23">
        <v>1.5403771237941E-2</v>
      </c>
      <c r="K23">
        <v>1.21256549007703E-2</v>
      </c>
      <c r="L23">
        <v>2.3351136336737899E-2</v>
      </c>
      <c r="M23">
        <v>1.2582164012950999E-2</v>
      </c>
      <c r="N23" s="6">
        <v>750</v>
      </c>
      <c r="O23" s="6">
        <v>1232.3338353792326</v>
      </c>
      <c r="P23">
        <f t="shared" si="2"/>
        <v>0.85000000000000009</v>
      </c>
      <c r="Q23">
        <f t="shared" si="3"/>
        <v>6.8750000000000006E-2</v>
      </c>
    </row>
    <row r="24" spans="1:17" x14ac:dyDescent="0.3">
      <c r="A24">
        <v>24</v>
      </c>
      <c r="B24">
        <v>0.8</v>
      </c>
      <c r="C24">
        <v>0.8</v>
      </c>
      <c r="D24">
        <v>1</v>
      </c>
      <c r="E24">
        <v>0.8</v>
      </c>
      <c r="F24">
        <v>0</v>
      </c>
      <c r="G24">
        <v>0</v>
      </c>
      <c r="H24">
        <v>0.33333333333333298</v>
      </c>
      <c r="I24">
        <v>0</v>
      </c>
      <c r="J24">
        <v>1.04576828272175E-2</v>
      </c>
      <c r="K24">
        <v>8.2484401721441107E-3</v>
      </c>
      <c r="L24">
        <v>1.6669912310918199E-2</v>
      </c>
      <c r="M24">
        <v>8.5394911909846497E-3</v>
      </c>
      <c r="N24" s="6">
        <v>750</v>
      </c>
      <c r="O24" s="6">
        <v>1628.6315124271027</v>
      </c>
      <c r="P24">
        <f t="shared" si="2"/>
        <v>0.85000000000000009</v>
      </c>
      <c r="Q24">
        <f t="shared" si="3"/>
        <v>8.3333333333333245E-2</v>
      </c>
    </row>
    <row r="27" spans="1:17" x14ac:dyDescent="0.3">
      <c r="A27" s="15" t="s">
        <v>94</v>
      </c>
    </row>
    <row r="28" spans="1:17" x14ac:dyDescent="0.3">
      <c r="A28" s="15" t="s">
        <v>99</v>
      </c>
      <c r="B28" s="10">
        <f>AVERAGE(B1:B6)</f>
        <v>0.31666666666666665</v>
      </c>
      <c r="C28" s="10">
        <f t="shared" ref="C28:M28" si="4">AVERAGE(C1:C6)</f>
        <v>0.31666666666666665</v>
      </c>
      <c r="D28" s="10">
        <f t="shared" si="4"/>
        <v>0.43333333333333335</v>
      </c>
      <c r="E28" s="10">
        <f t="shared" si="4"/>
        <v>0.43333333333333335</v>
      </c>
      <c r="F28" s="10">
        <f t="shared" si="4"/>
        <v>0</v>
      </c>
      <c r="G28" s="10">
        <f t="shared" si="4"/>
        <v>0</v>
      </c>
      <c r="H28" s="10">
        <f t="shared" si="4"/>
        <v>8.6111111111111124E-2</v>
      </c>
      <c r="I28" s="10">
        <f t="shared" si="4"/>
        <v>2.4999999999999998E-2</v>
      </c>
      <c r="J28" s="16">
        <f t="shared" si="4"/>
        <v>1.3496513889873774E-3</v>
      </c>
      <c r="K28" s="16">
        <f t="shared" si="4"/>
        <v>1.069250410140062E-3</v>
      </c>
      <c r="L28" s="16">
        <f t="shared" si="4"/>
        <v>2.3068118112519079E-2</v>
      </c>
      <c r="M28" s="16">
        <f t="shared" si="4"/>
        <v>1.1896860457534678E-3</v>
      </c>
      <c r="N28" t="s">
        <v>101</v>
      </c>
    </row>
    <row r="29" spans="1:17" x14ac:dyDescent="0.3">
      <c r="A29" s="15" t="s">
        <v>93</v>
      </c>
      <c r="B29" s="10"/>
      <c r="C29" s="10"/>
      <c r="D29" s="10"/>
      <c r="E29" s="10"/>
      <c r="F29" s="10"/>
      <c r="G29" s="10"/>
      <c r="H29" s="10"/>
      <c r="I29" s="10"/>
      <c r="J29" s="16"/>
      <c r="K29" s="16"/>
      <c r="L29" s="16"/>
      <c r="M29" s="16"/>
    </row>
    <row r="30" spans="1:17" x14ac:dyDescent="0.3">
      <c r="A30" s="15" t="s">
        <v>95</v>
      </c>
      <c r="B30" s="10">
        <f>AVERAGE(B14:B15)</f>
        <v>0.35</v>
      </c>
      <c r="C30" s="10">
        <f t="shared" ref="C30:M30" si="5">AVERAGE(C14:C15)</f>
        <v>0.35</v>
      </c>
      <c r="D30" s="10">
        <f t="shared" si="5"/>
        <v>0.35</v>
      </c>
      <c r="E30" s="10">
        <f t="shared" si="5"/>
        <v>0.35</v>
      </c>
      <c r="F30" s="10">
        <f t="shared" si="5"/>
        <v>0</v>
      </c>
      <c r="G30" s="10">
        <f t="shared" si="5"/>
        <v>0</v>
      </c>
      <c r="H30" s="10">
        <f t="shared" si="5"/>
        <v>0</v>
      </c>
      <c r="I30" s="10">
        <f t="shared" si="5"/>
        <v>0</v>
      </c>
      <c r="J30" s="16">
        <f t="shared" si="5"/>
        <v>6.3834780375810547E-4</v>
      </c>
      <c r="K30" s="16">
        <f t="shared" si="5"/>
        <v>5.0898402311414003E-4</v>
      </c>
      <c r="L30" s="16">
        <f t="shared" si="5"/>
        <v>6.7760174691609951E-4</v>
      </c>
      <c r="M30" s="16">
        <f t="shared" si="5"/>
        <v>5.1492415236543292E-4</v>
      </c>
      <c r="N30" t="s">
        <v>101</v>
      </c>
    </row>
    <row r="31" spans="1:17" x14ac:dyDescent="0.3">
      <c r="A31" s="15" t="s">
        <v>96</v>
      </c>
      <c r="B31" s="10">
        <f>AVERAGE(B9,B10,B16)</f>
        <v>0.20000000000000004</v>
      </c>
      <c r="C31" s="10">
        <f t="shared" ref="C31:M31" si="6">AVERAGE(C9,C10,C16)</f>
        <v>0.20000000000000004</v>
      </c>
      <c r="D31" s="10">
        <f t="shared" si="6"/>
        <v>0.20000000000000004</v>
      </c>
      <c r="E31" s="10">
        <f t="shared" si="6"/>
        <v>0.20000000000000004</v>
      </c>
      <c r="F31" s="10">
        <f t="shared" si="6"/>
        <v>0</v>
      </c>
      <c r="G31" s="10">
        <f t="shared" si="6"/>
        <v>0</v>
      </c>
      <c r="H31" s="10">
        <f t="shared" si="6"/>
        <v>0</v>
      </c>
      <c r="I31" s="10">
        <f t="shared" si="6"/>
        <v>0</v>
      </c>
      <c r="J31" s="16">
        <f t="shared" si="6"/>
        <v>5.2646415020728794E-4</v>
      </c>
      <c r="K31" s="16">
        <f t="shared" si="6"/>
        <v>4.18749916009557E-4</v>
      </c>
      <c r="L31" s="16">
        <f t="shared" si="6"/>
        <v>5.7493283954369694E-4</v>
      </c>
      <c r="M31" s="16">
        <f t="shared" si="6"/>
        <v>4.2588536719800397E-4</v>
      </c>
      <c r="N31" t="s">
        <v>102</v>
      </c>
    </row>
    <row r="32" spans="1:17" x14ac:dyDescent="0.3">
      <c r="A32" s="15" t="s">
        <v>100</v>
      </c>
      <c r="B32" s="10">
        <f>AVERAGE(B11:B13)</f>
        <v>0.20000000000000004</v>
      </c>
      <c r="C32" s="10">
        <f t="shared" ref="C32:M32" si="7">AVERAGE(C11:C13)</f>
        <v>0.20000000000000004</v>
      </c>
      <c r="D32" s="10">
        <f t="shared" si="7"/>
        <v>0.20000000000000004</v>
      </c>
      <c r="E32" s="10">
        <f t="shared" si="7"/>
        <v>0.20000000000000004</v>
      </c>
      <c r="F32" s="10">
        <f t="shared" si="7"/>
        <v>0</v>
      </c>
      <c r="G32" s="10">
        <f t="shared" si="7"/>
        <v>0</v>
      </c>
      <c r="H32" s="10">
        <f t="shared" si="7"/>
        <v>0</v>
      </c>
      <c r="I32" s="10">
        <f t="shared" si="7"/>
        <v>0</v>
      </c>
      <c r="J32" s="16">
        <f t="shared" si="7"/>
        <v>2.56353130857392E-4</v>
      </c>
      <c r="K32" s="16">
        <f t="shared" si="7"/>
        <v>2.0329766487732463E-4</v>
      </c>
      <c r="L32" s="16">
        <f t="shared" si="7"/>
        <v>2.8971262890585233E-4</v>
      </c>
      <c r="M32" s="16">
        <f t="shared" si="7"/>
        <v>2.0803879582091764E-4</v>
      </c>
      <c r="N32" t="s">
        <v>103</v>
      </c>
    </row>
    <row r="33" spans="1:14" x14ac:dyDescent="0.3">
      <c r="A33" s="15">
        <v>7</v>
      </c>
      <c r="B33" s="10">
        <v>0.4</v>
      </c>
      <c r="C33" s="10">
        <v>0.4</v>
      </c>
      <c r="D33" s="10">
        <v>0.4</v>
      </c>
      <c r="E33" s="10">
        <v>0.4</v>
      </c>
      <c r="F33" s="10">
        <v>0</v>
      </c>
      <c r="G33" s="10">
        <v>0</v>
      </c>
      <c r="H33" s="10">
        <v>0</v>
      </c>
      <c r="I33" s="10">
        <v>0</v>
      </c>
      <c r="J33" s="16">
        <v>1.08766081829625E-3</v>
      </c>
      <c r="K33" s="16">
        <v>8.63586893568306E-4</v>
      </c>
      <c r="L33" s="16">
        <v>1.21509388796958E-3</v>
      </c>
      <c r="M33" s="16">
        <v>8.8194666188674397E-4</v>
      </c>
      <c r="N33" t="s">
        <v>104</v>
      </c>
    </row>
    <row r="34" spans="1:14" x14ac:dyDescent="0.3">
      <c r="A34" s="15">
        <v>8</v>
      </c>
      <c r="B34" s="10">
        <v>0.3</v>
      </c>
      <c r="C34" s="10">
        <v>0.3</v>
      </c>
      <c r="D34" s="10">
        <v>0.3</v>
      </c>
      <c r="E34" s="10">
        <v>0.3</v>
      </c>
      <c r="F34" s="10">
        <v>0</v>
      </c>
      <c r="G34" s="10">
        <v>0</v>
      </c>
      <c r="H34" s="10">
        <v>0</v>
      </c>
      <c r="I34" s="10">
        <v>0</v>
      </c>
      <c r="J34" s="16">
        <v>6.6995401429426201E-4</v>
      </c>
      <c r="K34" s="16">
        <v>5.3477072001333103E-4</v>
      </c>
      <c r="L34" s="16">
        <v>7.0031064568933099E-4</v>
      </c>
      <c r="M34" s="16">
        <v>5.3943695038384705E-4</v>
      </c>
      <c r="N34" t="s">
        <v>105</v>
      </c>
    </row>
    <row r="35" spans="1:14" x14ac:dyDescent="0.3">
      <c r="A35" s="15" t="s">
        <v>97</v>
      </c>
      <c r="B35" s="10"/>
      <c r="C35" s="10"/>
      <c r="D35" s="10"/>
      <c r="E35" s="10"/>
      <c r="F35" s="10"/>
      <c r="G35" s="10"/>
      <c r="H35" s="10"/>
      <c r="I35" s="10"/>
      <c r="J35" s="16"/>
      <c r="K35" s="16"/>
      <c r="L35" s="16"/>
      <c r="M35" s="16"/>
    </row>
    <row r="36" spans="1:14" x14ac:dyDescent="0.3">
      <c r="A36" s="15" t="s">
        <v>98</v>
      </c>
      <c r="B36" s="10">
        <f>AVERAGE(B21:B24)</f>
        <v>0.8</v>
      </c>
      <c r="C36" s="10">
        <f t="shared" ref="C36:M36" si="8">AVERAGE(C21:C24)</f>
        <v>0.8</v>
      </c>
      <c r="D36" s="10">
        <f t="shared" si="8"/>
        <v>1</v>
      </c>
      <c r="E36" s="10">
        <f t="shared" si="8"/>
        <v>0.8</v>
      </c>
      <c r="F36" s="10">
        <f t="shared" si="8"/>
        <v>0</v>
      </c>
      <c r="G36" s="10">
        <f t="shared" si="8"/>
        <v>0</v>
      </c>
      <c r="H36" s="10">
        <f t="shared" si="8"/>
        <v>0.22986111111111124</v>
      </c>
      <c r="I36" s="10">
        <f t="shared" si="8"/>
        <v>0</v>
      </c>
      <c r="J36" s="16">
        <f t="shared" si="8"/>
        <v>1.2874001792394001E-2</v>
      </c>
      <c r="K36" s="16">
        <f t="shared" si="8"/>
        <v>1.016432203119904E-2</v>
      </c>
      <c r="L36" s="16">
        <f t="shared" si="8"/>
        <v>1.7987647557458374E-2</v>
      </c>
      <c r="M36" s="16">
        <f t="shared" si="8"/>
        <v>1.0486650232741037E-2</v>
      </c>
      <c r="N36" t="s">
        <v>101</v>
      </c>
    </row>
    <row r="37" spans="1:14" x14ac:dyDescent="0.3">
      <c r="A37" s="15">
        <v>19</v>
      </c>
      <c r="B37" s="10">
        <v>1</v>
      </c>
      <c r="C37" s="10">
        <v>1</v>
      </c>
      <c r="D37" s="10">
        <v>1</v>
      </c>
      <c r="E37" s="10">
        <v>1</v>
      </c>
      <c r="F37" s="10">
        <v>0.34</v>
      </c>
      <c r="G37" s="10">
        <v>0.26</v>
      </c>
      <c r="H37" s="10">
        <v>0.52</v>
      </c>
      <c r="I37" s="10">
        <v>0.44</v>
      </c>
      <c r="J37" s="16">
        <v>2.3261192677138502E-2</v>
      </c>
      <c r="K37" s="16">
        <v>1.7036474096804401E-2</v>
      </c>
      <c r="L37" s="16">
        <v>7.3050720443475894E-2</v>
      </c>
      <c r="M37" s="16">
        <v>2.1896263178760301E-2</v>
      </c>
      <c r="N37" t="s">
        <v>103</v>
      </c>
    </row>
    <row r="38" spans="1:14" x14ac:dyDescent="0.3">
      <c r="A38" s="15">
        <v>17</v>
      </c>
      <c r="B38" s="10">
        <v>1</v>
      </c>
      <c r="C38" s="10">
        <v>1</v>
      </c>
      <c r="D38" s="10">
        <v>1</v>
      </c>
      <c r="E38" s="10">
        <v>1</v>
      </c>
      <c r="F38" s="10">
        <v>0.28888888888888897</v>
      </c>
      <c r="G38" s="10">
        <v>0.266666666666667</v>
      </c>
      <c r="H38" s="10">
        <v>0.33333333333333298</v>
      </c>
      <c r="I38" s="10">
        <v>0.31111111111111101</v>
      </c>
      <c r="J38" s="16">
        <v>1.74081766952358E-2</v>
      </c>
      <c r="K38" s="16">
        <v>1.3734374465437901E-2</v>
      </c>
      <c r="L38" s="16">
        <v>2.1070962278643E-2</v>
      </c>
      <c r="M38" s="16">
        <v>1.4326536802087401E-2</v>
      </c>
      <c r="N38" t="s">
        <v>106</v>
      </c>
    </row>
    <row r="39" spans="1:14" x14ac:dyDescent="0.3">
      <c r="A39" s="15">
        <v>18</v>
      </c>
      <c r="B39" s="10">
        <v>1</v>
      </c>
      <c r="C39" s="10">
        <v>1</v>
      </c>
      <c r="D39" s="10">
        <v>1</v>
      </c>
      <c r="E39" s="10">
        <v>1</v>
      </c>
      <c r="F39" s="10">
        <v>0.31111111111111101</v>
      </c>
      <c r="G39" s="10">
        <v>0.24444444444444399</v>
      </c>
      <c r="H39" s="10">
        <v>0.37777777777777799</v>
      </c>
      <c r="I39" s="10">
        <v>0.31111111111111101</v>
      </c>
      <c r="J39" s="16">
        <v>2.3817845234242099E-2</v>
      </c>
      <c r="K39" s="16">
        <v>1.8741553880062101E-2</v>
      </c>
      <c r="L39" s="16">
        <v>2.86334284476817E-2</v>
      </c>
      <c r="M39" s="16">
        <v>1.95312760811404E-2</v>
      </c>
      <c r="N39" t="s">
        <v>104</v>
      </c>
    </row>
    <row r="40" spans="1:14" x14ac:dyDescent="0.3">
      <c r="A40" s="15">
        <v>20</v>
      </c>
      <c r="B40" s="10">
        <v>1</v>
      </c>
      <c r="C40" s="10">
        <v>1</v>
      </c>
      <c r="D40" s="10">
        <v>1</v>
      </c>
      <c r="E40" s="10">
        <v>1</v>
      </c>
      <c r="F40" s="10">
        <v>0.24</v>
      </c>
      <c r="G40" s="10">
        <v>0.22</v>
      </c>
      <c r="H40" s="10">
        <v>0.34</v>
      </c>
      <c r="I40" s="10">
        <v>0.26</v>
      </c>
      <c r="J40" s="16">
        <v>2.9237595266989699E-2</v>
      </c>
      <c r="K40" s="16">
        <v>2.3054837643390301E-2</v>
      </c>
      <c r="L40" s="16">
        <v>3.4228345790841802E-2</v>
      </c>
      <c r="M40" s="16">
        <v>2.3818934688027101E-2</v>
      </c>
      <c r="N40" t="s">
        <v>105</v>
      </c>
    </row>
  </sheetData>
  <phoneticPr fontId="1" type="noConversion"/>
  <conditionalFormatting sqref="N23 O22:O23">
    <cfRule type="expression" dxfId="0" priority="1" stopIfTrue="1">
      <formula>#REF!="Confidential"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Jiarong Li</cp:lastModifiedBy>
  <dcterms:created xsi:type="dcterms:W3CDTF">2015-06-05T18:17:20Z</dcterms:created>
  <dcterms:modified xsi:type="dcterms:W3CDTF">2026-06-30T16:41:13Z</dcterms:modified>
</cp:coreProperties>
</file>