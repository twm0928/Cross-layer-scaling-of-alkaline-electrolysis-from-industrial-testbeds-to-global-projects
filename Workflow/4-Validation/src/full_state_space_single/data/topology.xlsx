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R\Desktop\科研\论文\25-拓扑-综述1-工具0.8-计算0.8-论文0.5\投稿\3-NC投稿\R1\AI for NC\Workflow\2-Module\data\input\"/>
    </mc:Choice>
  </mc:AlternateContent>
  <xr:revisionPtr revIDLastSave="0" documentId="13_ncr:1_{B8B66959-35B5-4B51-82E5-2A56FFBAFB43}" xr6:coauthVersionLast="47" xr6:coauthVersionMax="47" xr10:uidLastSave="{00000000-0000-0000-0000-000000000000}"/>
  <bookViews>
    <workbookView xWindow="-110" yWindow="-110" windowWidth="19420" windowHeight="10420" xr2:uid="{D352C03C-2340-44FB-A9A5-6721696ED3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J13" i="1"/>
  <c r="J8" i="1"/>
  <c r="H5" i="1"/>
  <c r="G5" i="1"/>
  <c r="I4" i="1"/>
  <c r="I8" i="1"/>
  <c r="G8" i="1"/>
  <c r="G6" i="1"/>
  <c r="G4" i="1"/>
  <c r="I14" i="1"/>
  <c r="I13" i="1"/>
  <c r="H14" i="1"/>
  <c r="G14" i="1"/>
  <c r="H13" i="1"/>
  <c r="G13" i="1"/>
  <c r="F14" i="1"/>
  <c r="F13" i="1"/>
  <c r="E14" i="1"/>
  <c r="E13" i="1"/>
</calcChain>
</file>

<file path=xl/sharedStrings.xml><?xml version="1.0" encoding="utf-8"?>
<sst xmlns="http://schemas.openxmlformats.org/spreadsheetml/2006/main" count="45" uniqueCount="38">
  <si>
    <t>设备</t>
  </si>
  <si>
    <t>参数</t>
  </si>
  <si>
    <t>电堆</t>
  </si>
  <si>
    <t>单电池数</t>
  </si>
  <si>
    <t>液路</t>
  </si>
  <si>
    <t>37/1000</t>
  </si>
  <si>
    <t>分离</t>
  </si>
  <si>
    <t>换热</t>
  </si>
  <si>
    <t>默认</t>
    <phoneticPr fontId="1" type="noConversion"/>
  </si>
  <si>
    <r>
      <t>5*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4-4-4</t>
    </r>
    <r>
      <rPr>
        <sz val="10"/>
        <color theme="1"/>
        <rFont val="宋体"/>
        <family val="3"/>
        <charset val="134"/>
      </rPr>
      <t>）</t>
    </r>
  </si>
  <si>
    <r>
      <t>5*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4-2-2</t>
    </r>
    <r>
      <rPr>
        <sz val="10"/>
        <color theme="1"/>
        <rFont val="宋体"/>
        <family val="3"/>
        <charset val="134"/>
      </rPr>
      <t>）</t>
    </r>
  </si>
  <si>
    <r>
      <t>5*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4-1-1</t>
    </r>
    <r>
      <rPr>
        <sz val="10"/>
        <color theme="1"/>
        <rFont val="宋体"/>
        <family val="3"/>
        <charset val="134"/>
      </rPr>
      <t>）</t>
    </r>
  </si>
  <si>
    <r>
      <t>10*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2-2-2</t>
    </r>
    <r>
      <rPr>
        <sz val="10"/>
        <color theme="1"/>
        <rFont val="宋体"/>
        <family val="3"/>
        <charset val="134"/>
      </rPr>
      <t>）</t>
    </r>
  </si>
  <si>
    <r>
      <t>10*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2-1-1</t>
    </r>
    <r>
      <rPr>
        <sz val="10"/>
        <color theme="1"/>
        <rFont val="宋体"/>
        <family val="3"/>
        <charset val="134"/>
      </rPr>
      <t>）</t>
    </r>
  </si>
  <si>
    <r>
      <t>20*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1-1-1</t>
    </r>
    <r>
      <rPr>
        <sz val="10"/>
        <color theme="1"/>
        <rFont val="宋体"/>
        <family val="3"/>
        <charset val="134"/>
      </rPr>
      <t>）</t>
    </r>
  </si>
  <si>
    <r>
      <t>电解槽额定功率</t>
    </r>
    <r>
      <rPr>
        <sz val="10"/>
        <color theme="1"/>
        <rFont val="Times New Roman"/>
        <family val="1"/>
      </rPr>
      <t>/MW</t>
    </r>
  </si>
  <si>
    <r>
      <t>漏电流</t>
    </r>
    <r>
      <rPr>
        <sz val="10"/>
        <color theme="1"/>
        <rFont val="Times New Roman"/>
        <family val="1"/>
      </rPr>
      <t>/A</t>
    </r>
  </si>
  <si>
    <r>
      <t>截面积</t>
    </r>
    <r>
      <rPr>
        <sz val="10"/>
        <color theme="1"/>
        <rFont val="Times New Roman"/>
        <family val="1"/>
      </rPr>
      <t>/m2</t>
    </r>
  </si>
  <si>
    <r>
      <t>热容</t>
    </r>
    <r>
      <rPr>
        <sz val="10"/>
        <color theme="1"/>
        <rFont val="Times New Roman"/>
        <family val="1"/>
      </rPr>
      <t>/J/K</t>
    </r>
  </si>
  <si>
    <r>
      <t>热阻</t>
    </r>
    <r>
      <rPr>
        <sz val="10"/>
        <color theme="1"/>
        <rFont val="Times New Roman"/>
        <family val="1"/>
      </rPr>
      <t>/K/W</t>
    </r>
  </si>
  <si>
    <r>
      <t>额定碱液流量</t>
    </r>
    <r>
      <rPr>
        <sz val="10"/>
        <color theme="1"/>
        <rFont val="Times New Roman"/>
        <family val="1"/>
      </rPr>
      <t>/m3/h</t>
    </r>
  </si>
  <si>
    <r>
      <t>循环泵额定功率</t>
    </r>
    <r>
      <rPr>
        <sz val="10"/>
        <color theme="1"/>
        <rFont val="Times New Roman"/>
        <family val="1"/>
      </rPr>
      <t>/MW</t>
    </r>
  </si>
  <si>
    <r>
      <t>氧分离器气相体积</t>
    </r>
    <r>
      <rPr>
        <sz val="10"/>
        <color theme="1"/>
        <rFont val="Times New Roman"/>
        <family val="1"/>
      </rPr>
      <t>/m3</t>
    </r>
  </si>
  <si>
    <r>
      <t>氢氧分离器总热容</t>
    </r>
    <r>
      <rPr>
        <sz val="10"/>
        <color theme="1"/>
        <rFont val="Times New Roman"/>
        <family val="1"/>
      </rPr>
      <t>/J/k</t>
    </r>
  </si>
  <si>
    <r>
      <t>氢分离器热阻</t>
    </r>
    <r>
      <rPr>
        <sz val="10"/>
        <color theme="1"/>
        <rFont val="Times New Roman"/>
        <family val="1"/>
      </rPr>
      <t>/K/W</t>
    </r>
  </si>
  <si>
    <r>
      <t>氧分离器热阻</t>
    </r>
    <r>
      <rPr>
        <sz val="10"/>
        <color theme="1"/>
        <rFont val="Times New Roman"/>
        <family val="1"/>
      </rPr>
      <t>/K/W</t>
    </r>
  </si>
  <si>
    <r>
      <t>换热器最大冷却功率</t>
    </r>
    <r>
      <rPr>
        <sz val="10"/>
        <color theme="1"/>
        <rFont val="Times New Roman"/>
        <family val="1"/>
      </rPr>
      <t>/MW</t>
    </r>
  </si>
  <si>
    <r>
      <t>加热器加热功率</t>
    </r>
    <r>
      <rPr>
        <sz val="10"/>
        <color theme="1"/>
        <rFont val="Times New Roman"/>
        <family val="1"/>
      </rPr>
      <t>/MW</t>
    </r>
  </si>
  <si>
    <t>N_st</t>
  </si>
  <si>
    <t>N_sp</t>
  </si>
  <si>
    <t>N_pu</t>
  </si>
  <si>
    <t>N_lyep</t>
  </si>
  <si>
    <t>N_cl</t>
  </si>
  <si>
    <t>B_ht</t>
  </si>
  <si>
    <t>N_ht</t>
  </si>
  <si>
    <r>
      <t>额定电流</t>
    </r>
    <r>
      <rPr>
        <sz val="10"/>
        <color theme="1"/>
        <rFont val="Times New Roman"/>
        <family val="1"/>
      </rPr>
      <t>/A</t>
    </r>
    <phoneticPr fontId="1" type="noConversion"/>
  </si>
  <si>
    <t>3.14*1^2 (0.5)</t>
    <phoneticPr fontId="1" type="noConversion"/>
  </si>
  <si>
    <t>20*（1-1-1-SFT）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</si>
</sst>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0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0"/>
      <color theme="1"/>
      <name val="宋体"/>
      <family val="3"/>
      <charset val="134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176" fontId="4" fillId="0" borderId="0" xfId="0" applyNumberFormat="1" applyFont="1" applyBorder="1" applyAlignment="1">
      <alignment horizontal="left" vertical="center" wrapText="1"/>
    </xf>
    <xf numFmtId="11" fontId="4" fillId="0" borderId="0" xfId="0" applyNumberFormat="1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FC59-19EB-447C-A2CA-E2C201E32B38}">
  <dimension ref="A1:J16"/>
  <sheetViews>
    <sheetView tabSelected="1" zoomScale="70" zoomScaleNormal="70" workbookViewId="0">
      <selection activeCell="I6" sqref="I6"/>
    </sheetView>
  </sheetViews>
  <sheetFormatPr defaultRowHeight="13" x14ac:dyDescent="0.3"/>
  <cols>
    <col min="1" max="1" width="6.19921875" customWidth="1"/>
    <col min="2" max="2" width="28" customWidth="1"/>
    <col min="3" max="9" width="15.59765625" customWidth="1"/>
  </cols>
  <sheetData>
    <row r="1" spans="1:10" ht="14" customHeight="1" x14ac:dyDescent="0.3">
      <c r="A1" s="1" t="s">
        <v>0</v>
      </c>
      <c r="B1" s="1" t="s">
        <v>1</v>
      </c>
      <c r="C1" s="2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37</v>
      </c>
    </row>
    <row r="2" spans="1:10" ht="14" customHeight="1" x14ac:dyDescent="0.3">
      <c r="A2" s="7" t="s">
        <v>2</v>
      </c>
      <c r="B2" s="6" t="s">
        <v>15</v>
      </c>
      <c r="C2" s="3">
        <v>5</v>
      </c>
      <c r="D2" s="4">
        <v>1</v>
      </c>
      <c r="E2" s="4">
        <v>1</v>
      </c>
      <c r="F2" s="4">
        <v>1</v>
      </c>
      <c r="G2" s="4">
        <v>2</v>
      </c>
      <c r="H2" s="4">
        <v>2</v>
      </c>
      <c r="I2" s="4">
        <v>4</v>
      </c>
      <c r="J2" s="4">
        <v>4</v>
      </c>
    </row>
    <row r="3" spans="1:10" ht="14" customHeight="1" x14ac:dyDescent="0.3">
      <c r="A3" s="7"/>
      <c r="B3" s="6" t="s">
        <v>35</v>
      </c>
      <c r="C3" s="3">
        <v>14000</v>
      </c>
      <c r="D3" s="4">
        <v>1</v>
      </c>
      <c r="E3" s="4">
        <v>1</v>
      </c>
      <c r="F3" s="4">
        <v>1</v>
      </c>
      <c r="G3" s="4">
        <v>1.4139999999999999</v>
      </c>
      <c r="H3" s="4">
        <v>1.4139999999999999</v>
      </c>
      <c r="I3" s="4">
        <v>2</v>
      </c>
      <c r="J3" s="4">
        <v>2</v>
      </c>
    </row>
    <row r="4" spans="1:10" ht="14" customHeight="1" x14ac:dyDescent="0.3">
      <c r="A4" s="7"/>
      <c r="B4" s="6" t="s">
        <v>16</v>
      </c>
      <c r="C4" s="3">
        <v>1381</v>
      </c>
      <c r="D4" s="4">
        <v>1</v>
      </c>
      <c r="E4" s="4">
        <v>1</v>
      </c>
      <c r="F4" s="4">
        <v>1</v>
      </c>
      <c r="G4" s="4">
        <f>2891/C4</f>
        <v>2.0934105720492395</v>
      </c>
      <c r="H4" s="4">
        <v>2.0934105720492395</v>
      </c>
      <c r="I4" s="4">
        <f>5697/C4</f>
        <v>4.1252715423606086</v>
      </c>
      <c r="J4" s="4">
        <v>2</v>
      </c>
    </row>
    <row r="5" spans="1:10" ht="14" customHeight="1" x14ac:dyDescent="0.3">
      <c r="A5" s="7"/>
      <c r="B5" s="6" t="s">
        <v>3</v>
      </c>
      <c r="C5" s="3">
        <v>200</v>
      </c>
      <c r="D5" s="4">
        <v>1</v>
      </c>
      <c r="E5" s="4">
        <v>1</v>
      </c>
      <c r="F5" s="4">
        <v>1</v>
      </c>
      <c r="G5" s="4">
        <f>1.414</f>
        <v>1.4139999999999999</v>
      </c>
      <c r="H5" s="4">
        <f>1.414</f>
        <v>1.4139999999999999</v>
      </c>
      <c r="I5" s="4">
        <v>2</v>
      </c>
      <c r="J5" s="4">
        <v>2</v>
      </c>
    </row>
    <row r="6" spans="1:10" ht="14" customHeight="1" x14ac:dyDescent="0.3">
      <c r="A6" s="7"/>
      <c r="B6" s="6" t="s">
        <v>17</v>
      </c>
      <c r="C6" s="3" t="s">
        <v>36</v>
      </c>
      <c r="D6" s="4">
        <v>1</v>
      </c>
      <c r="E6" s="4">
        <v>1</v>
      </c>
      <c r="F6" s="4">
        <v>1</v>
      </c>
      <c r="G6" s="4">
        <f>1.414</f>
        <v>1.4139999999999999</v>
      </c>
      <c r="H6" s="4">
        <v>1.4139999999999999</v>
      </c>
      <c r="I6" s="4">
        <v>2</v>
      </c>
      <c r="J6" s="4">
        <v>2</v>
      </c>
    </row>
    <row r="7" spans="1:10" ht="14" customHeight="1" x14ac:dyDescent="0.3">
      <c r="A7" s="7"/>
      <c r="B7" s="6" t="s">
        <v>18</v>
      </c>
      <c r="C7" s="5">
        <v>31620000</v>
      </c>
      <c r="D7" s="4">
        <v>1</v>
      </c>
      <c r="E7" s="4">
        <v>1</v>
      </c>
      <c r="F7" s="4">
        <v>1</v>
      </c>
      <c r="G7" s="4">
        <v>2</v>
      </c>
      <c r="H7" s="4">
        <v>2</v>
      </c>
      <c r="I7" s="4">
        <v>4</v>
      </c>
      <c r="J7" s="4">
        <v>4</v>
      </c>
    </row>
    <row r="8" spans="1:10" ht="14" customHeight="1" x14ac:dyDescent="0.3">
      <c r="A8" s="7"/>
      <c r="B8" s="6" t="s">
        <v>19</v>
      </c>
      <c r="C8" s="3">
        <v>6.7000000000000002E-3</v>
      </c>
      <c r="D8" s="4">
        <v>1</v>
      </c>
      <c r="E8" s="4">
        <v>1</v>
      </c>
      <c r="F8" s="4">
        <v>1</v>
      </c>
      <c r="G8" s="4">
        <f>1/1.5</f>
        <v>0.66666666666666663</v>
      </c>
      <c r="H8" s="4">
        <v>0.66666666666666663</v>
      </c>
      <c r="I8" s="4">
        <f>1/2.828</f>
        <v>0.3536067892503536</v>
      </c>
      <c r="J8" s="4">
        <f>1/2.828</f>
        <v>0.3536067892503536</v>
      </c>
    </row>
    <row r="9" spans="1:10" ht="14" customHeight="1" x14ac:dyDescent="0.3">
      <c r="A9" s="7"/>
      <c r="B9" s="6" t="s">
        <v>20</v>
      </c>
      <c r="C9" s="3">
        <v>70</v>
      </c>
      <c r="D9" s="4">
        <v>1</v>
      </c>
      <c r="E9" s="4">
        <v>1</v>
      </c>
      <c r="F9" s="4">
        <v>1</v>
      </c>
      <c r="G9" s="4">
        <v>2</v>
      </c>
      <c r="H9" s="4">
        <v>2</v>
      </c>
      <c r="I9" s="4">
        <v>4</v>
      </c>
      <c r="J9" s="4">
        <v>4</v>
      </c>
    </row>
    <row r="10" spans="1:10" ht="14" customHeight="1" x14ac:dyDescent="0.3">
      <c r="A10" s="1" t="s">
        <v>4</v>
      </c>
      <c r="B10" s="6" t="s">
        <v>21</v>
      </c>
      <c r="C10" s="3" t="s">
        <v>5</v>
      </c>
      <c r="D10" s="4">
        <v>1</v>
      </c>
      <c r="E10" s="4">
        <v>2</v>
      </c>
      <c r="F10" s="4">
        <v>4</v>
      </c>
      <c r="G10" s="4">
        <v>2</v>
      </c>
      <c r="H10" s="4">
        <v>4</v>
      </c>
      <c r="I10" s="4">
        <v>4</v>
      </c>
      <c r="J10" s="4">
        <v>4</v>
      </c>
    </row>
    <row r="11" spans="1:10" ht="14" customHeight="1" x14ac:dyDescent="0.3">
      <c r="A11" s="7" t="s">
        <v>6</v>
      </c>
      <c r="B11" s="1" t="s">
        <v>22</v>
      </c>
      <c r="C11" s="3">
        <v>1.5</v>
      </c>
      <c r="D11" s="4">
        <v>1</v>
      </c>
      <c r="E11" s="4">
        <v>2</v>
      </c>
      <c r="F11" s="4">
        <v>4</v>
      </c>
      <c r="G11" s="4">
        <v>2</v>
      </c>
      <c r="H11" s="4">
        <v>4</v>
      </c>
      <c r="I11" s="4">
        <v>4</v>
      </c>
      <c r="J11" s="4">
        <v>4</v>
      </c>
    </row>
    <row r="12" spans="1:10" ht="14" customHeight="1" x14ac:dyDescent="0.3">
      <c r="A12" s="7"/>
      <c r="B12" s="1" t="s">
        <v>23</v>
      </c>
      <c r="C12" s="5">
        <v>30000000</v>
      </c>
      <c r="D12" s="4">
        <v>1</v>
      </c>
      <c r="E12" s="4">
        <v>2</v>
      </c>
      <c r="F12" s="4">
        <v>4</v>
      </c>
      <c r="G12" s="4">
        <v>2</v>
      </c>
      <c r="H12" s="4">
        <v>4</v>
      </c>
      <c r="I12" s="4">
        <v>4</v>
      </c>
      <c r="J12" s="4">
        <v>4</v>
      </c>
    </row>
    <row r="13" spans="1:10" ht="14" customHeight="1" x14ac:dyDescent="0.3">
      <c r="A13" s="7"/>
      <c r="B13" s="1" t="s">
        <v>24</v>
      </c>
      <c r="C13" s="3">
        <v>1.4800000000000001E-2</v>
      </c>
      <c r="D13" s="4">
        <v>1</v>
      </c>
      <c r="E13" s="4">
        <f>1/2</f>
        <v>0.5</v>
      </c>
      <c r="F13" s="4">
        <f>1/4</f>
        <v>0.25</v>
      </c>
      <c r="G13" s="4">
        <f>1/2</f>
        <v>0.5</v>
      </c>
      <c r="H13" s="4">
        <f t="shared" ref="H13:J14" si="0">1/4</f>
        <v>0.25</v>
      </c>
      <c r="I13" s="4">
        <f t="shared" si="0"/>
        <v>0.25</v>
      </c>
      <c r="J13" s="4">
        <f t="shared" si="0"/>
        <v>0.25</v>
      </c>
    </row>
    <row r="14" spans="1:10" ht="14" customHeight="1" x14ac:dyDescent="0.3">
      <c r="A14" s="7"/>
      <c r="B14" s="1" t="s">
        <v>25</v>
      </c>
      <c r="C14" s="3">
        <v>1.4800000000000001E-2</v>
      </c>
      <c r="D14" s="4">
        <v>1</v>
      </c>
      <c r="E14" s="4">
        <f>1/2</f>
        <v>0.5</v>
      </c>
      <c r="F14" s="4">
        <f>1/4</f>
        <v>0.25</v>
      </c>
      <c r="G14" s="4">
        <f>1/2</f>
        <v>0.5</v>
      </c>
      <c r="H14" s="4">
        <f t="shared" si="0"/>
        <v>0.25</v>
      </c>
      <c r="I14" s="4">
        <f t="shared" si="0"/>
        <v>0.25</v>
      </c>
      <c r="J14" s="4">
        <f t="shared" si="0"/>
        <v>0.25</v>
      </c>
    </row>
    <row r="15" spans="1:10" ht="14" customHeight="1" x14ac:dyDescent="0.3">
      <c r="A15" s="7" t="s">
        <v>7</v>
      </c>
      <c r="B15" s="1" t="s">
        <v>26</v>
      </c>
      <c r="C15" s="3">
        <v>2</v>
      </c>
      <c r="D15" s="4">
        <v>1</v>
      </c>
      <c r="E15" s="4">
        <v>2</v>
      </c>
      <c r="F15" s="4">
        <v>4</v>
      </c>
      <c r="G15" s="4">
        <v>2</v>
      </c>
      <c r="H15" s="4">
        <v>4</v>
      </c>
      <c r="I15" s="4">
        <v>4</v>
      </c>
      <c r="J15" s="4">
        <v>4</v>
      </c>
    </row>
    <row r="16" spans="1:10" ht="14" customHeight="1" x14ac:dyDescent="0.3">
      <c r="A16" s="7"/>
      <c r="B16" s="1" t="s">
        <v>27</v>
      </c>
      <c r="C16" s="3">
        <v>0.1</v>
      </c>
      <c r="D16" s="4">
        <v>1</v>
      </c>
      <c r="E16" s="4">
        <v>2</v>
      </c>
      <c r="F16" s="4">
        <v>4</v>
      </c>
      <c r="G16" s="4">
        <v>2</v>
      </c>
      <c r="H16" s="4">
        <v>4</v>
      </c>
      <c r="I16" s="4">
        <v>4</v>
      </c>
      <c r="J16" s="4">
        <v>4</v>
      </c>
    </row>
  </sheetData>
  <mergeCells count="3">
    <mergeCell ref="A2:A9"/>
    <mergeCell ref="A11:A14"/>
    <mergeCell ref="A15:A16"/>
  </mergeCells>
  <phoneticPr fontId="1" type="noConversion"/>
  <pageMargins left="0.7" right="0.7" top="0.75" bottom="0.75" header="0.3" footer="0.3"/>
  <pageSetup paperSize="9" orientation="portrait" r:id="rId1"/>
  <ignoredErrors>
    <ignoredError sqref="F13:F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D2A2-2C24-4CED-B036-A509866F6960}">
  <dimension ref="A1:H8"/>
  <sheetViews>
    <sheetView workbookViewId="0">
      <selection activeCell="D22" sqref="D22"/>
    </sheetView>
  </sheetViews>
  <sheetFormatPr defaultRowHeight="13" x14ac:dyDescent="0.3"/>
  <cols>
    <col min="2" max="7" width="12.5" customWidth="1"/>
  </cols>
  <sheetData>
    <row r="1" spans="1:8" ht="39" x14ac:dyDescent="0.3"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37</v>
      </c>
    </row>
    <row r="2" spans="1:8" x14ac:dyDescent="0.3">
      <c r="A2" t="s">
        <v>28</v>
      </c>
      <c r="B2">
        <v>4</v>
      </c>
      <c r="C2">
        <v>4</v>
      </c>
      <c r="D2">
        <v>4</v>
      </c>
      <c r="E2">
        <v>2</v>
      </c>
      <c r="F2">
        <v>2</v>
      </c>
      <c r="G2">
        <v>1</v>
      </c>
      <c r="H2">
        <v>1</v>
      </c>
    </row>
    <row r="3" spans="1:8" x14ac:dyDescent="0.3">
      <c r="A3" t="s">
        <v>29</v>
      </c>
      <c r="B3">
        <v>4</v>
      </c>
      <c r="C3">
        <v>2</v>
      </c>
      <c r="D3">
        <v>1</v>
      </c>
      <c r="E3">
        <v>2</v>
      </c>
      <c r="F3">
        <v>1</v>
      </c>
      <c r="G3">
        <v>1</v>
      </c>
      <c r="H3">
        <v>1</v>
      </c>
    </row>
    <row r="4" spans="1:8" x14ac:dyDescent="0.3">
      <c r="A4" t="s">
        <v>30</v>
      </c>
      <c r="B4">
        <v>4</v>
      </c>
      <c r="C4">
        <v>2</v>
      </c>
      <c r="D4">
        <v>1</v>
      </c>
      <c r="E4">
        <v>2</v>
      </c>
      <c r="F4">
        <v>1</v>
      </c>
      <c r="G4">
        <v>1</v>
      </c>
      <c r="H4">
        <v>1</v>
      </c>
    </row>
    <row r="5" spans="1:8" x14ac:dyDescent="0.3">
      <c r="A5" t="s">
        <v>31</v>
      </c>
      <c r="B5">
        <v>4</v>
      </c>
      <c r="C5">
        <v>2</v>
      </c>
      <c r="D5">
        <v>1</v>
      </c>
      <c r="E5">
        <v>2</v>
      </c>
      <c r="F5">
        <v>1</v>
      </c>
      <c r="G5">
        <v>1</v>
      </c>
      <c r="H5">
        <v>1</v>
      </c>
    </row>
    <row r="6" spans="1:8" x14ac:dyDescent="0.3">
      <c r="A6" t="s">
        <v>32</v>
      </c>
      <c r="B6">
        <v>4</v>
      </c>
      <c r="C6">
        <v>2</v>
      </c>
      <c r="D6">
        <v>1</v>
      </c>
      <c r="E6">
        <v>2</v>
      </c>
      <c r="F6">
        <v>1</v>
      </c>
      <c r="G6">
        <v>1</v>
      </c>
      <c r="H6">
        <v>1</v>
      </c>
    </row>
    <row r="7" spans="1:8" x14ac:dyDescent="0.3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34</v>
      </c>
      <c r="B8">
        <v>4</v>
      </c>
      <c r="C8">
        <v>2</v>
      </c>
      <c r="D8">
        <v>1</v>
      </c>
      <c r="E8">
        <v>2</v>
      </c>
      <c r="F8">
        <v>1</v>
      </c>
      <c r="G8">
        <v>1</v>
      </c>
      <c r="H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Jiarong Li</dc:creator>
  <cp:lastModifiedBy>Jiarong Li</cp:lastModifiedBy>
  <dcterms:created xsi:type="dcterms:W3CDTF">2025-03-25T19:17:52Z</dcterms:created>
  <dcterms:modified xsi:type="dcterms:W3CDTF">2026-06-11T14:04:48Z</dcterms:modified>
</cp:coreProperties>
</file>